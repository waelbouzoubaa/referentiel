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109.Achats\S109O.Orga\Docs Fournisseurs\Fournisseurs Accord actuel\ALTEMA ###\Docs actuels\Portail\"/>
    </mc:Choice>
  </mc:AlternateContent>
  <xr:revisionPtr revIDLastSave="0" documentId="13_ncr:1_{7456283C-5440-4055-9CFE-4960C550A7D3}" xr6:coauthVersionLast="47" xr6:coauthVersionMax="47" xr10:uidLastSave="{00000000-0000-0000-0000-000000000000}"/>
  <bookViews>
    <workbookView xWindow="28680" yWindow="-120" windowWidth="29040" windowHeight="15720" xr2:uid="{2588ADAC-C95A-48D9-A1E3-125CF0BCD11A}"/>
  </bookViews>
  <sheets>
    <sheet name="Tarif MCBE" sheetId="11" r:id="rId1"/>
    <sheet name="Tarif global" sheetId="9" state="hidden" r:id="rId2"/>
    <sheet name="Contacts &amp; Conditions" sheetId="6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2" hidden="1">'Contacts &amp; Conditions'!$B$7:$I$11</definedName>
    <definedName name="_xlnm._FilterDatabase" localSheetId="1" hidden="1">'Tarif global'!$B$7:$L$727</definedName>
    <definedName name="_xlnm._FilterDatabase" localSheetId="0" hidden="1">'Tarif MCBE'!$A$7:$P$122</definedName>
    <definedName name="_selectedMonth">[1]PORTAIL!$D$15</definedName>
    <definedName name="_syn92">#REF!</definedName>
    <definedName name="_syn93">#REF!</definedName>
    <definedName name="Acheteurs">'[2]Acheteur Leader Générique 2020'!$D$429:$E$571</definedName>
    <definedName name="actionnaire1">[3]Présentation!$A$29</definedName>
    <definedName name="actionnaire2">[3]Présentation!$A$30</definedName>
    <definedName name="actionnaire3">[3]Présentation!$A$31</definedName>
    <definedName name="actionnaire4">[3]Présentation!$A$32</definedName>
    <definedName name="Activité_principale">[3]Présentation!$C$13</definedName>
    <definedName name="Adresse_du_siège_social">[3]Présentation!$C$14</definedName>
    <definedName name="Affiliation_syndicat">[3]Présentation!$C$24</definedName>
    <definedName name="age_moyen_salarié">'[3]Données commerciales'!#REF!</definedName>
    <definedName name="alliance_commerciale">[3]Présentation!$E$43</definedName>
    <definedName name="analyse_accidents_amélioration">[3]SSE!#REF!</definedName>
    <definedName name="ancienneté_moyenne_salarié">'[3]Données commerciales'!#REF!</definedName>
    <definedName name="anciennete_vinci">'[3]Informations financières'!$D$22</definedName>
    <definedName name="autres_certificats">'[3]Données commerciales'!$E$48</definedName>
    <definedName name="avantages_concurrence">'[3]Données commerciales'!$C$26</definedName>
    <definedName name="bis">#REF!</definedName>
    <definedName name="budget_formation">[3]SSE!#REF!</definedName>
    <definedName name="CA">#REF!</definedName>
    <definedName name="CA_2010_fr_C">'[3]Informations financières'!$D$17</definedName>
    <definedName name="CA_2010_fr_NC">'[3]Informations financières'!$D$30</definedName>
    <definedName name="CA_2010_idf_C">'[3]Informations financières'!$G$17</definedName>
    <definedName name="CA_2010_idf_NC">'[3]Informations financières'!$G$30</definedName>
    <definedName name="CA_2011_fr_C">'[3]Informations financières'!$D$18</definedName>
    <definedName name="CA_2011_fr_NC">'[3]Informations financières'!$D$31</definedName>
    <definedName name="CA_2011_idf_C">'[3]Informations financières'!$G$18</definedName>
    <definedName name="CA_2011_idf_NC">'[3]Informations financières'!$G$31</definedName>
    <definedName name="CA_2012_fr_C">'[3]Informations financières'!$D$19</definedName>
    <definedName name="CA_2012_fr_NC">'[3]Informations financières'!$D$32</definedName>
    <definedName name="CA_2012_idf_C">'[3]Informations financières'!$G$19</definedName>
    <definedName name="CA_2012_idf_NC">'[3]Informations financières'!$G$32</definedName>
    <definedName name="Capital_social">[3]Présentation!$C$12</definedName>
    <definedName name="CatHAGery">'[2]Acheteur Leader Générique 2020'!$A$429:$B$571</definedName>
    <definedName name="certificat_environnement">[3]SSE!#REF!</definedName>
    <definedName name="certificat_qualité">[3]SSE!#REF!</definedName>
    <definedName name="certificat_sécurité">[3]SSE!#REF!</definedName>
    <definedName name="certification">[3]SSE!#REF!</definedName>
    <definedName name="certification_environnement">[3]SSE!#REF!</definedName>
    <definedName name="charges_patronales">'[3]Informations financières'!#REF!</definedName>
    <definedName name="CLIENT">#REF!</definedName>
    <definedName name="Code_APE_NAF">[3]Présentation!$C$20</definedName>
    <definedName name="Code_Postal">[3]Présentation!$C$15</definedName>
    <definedName name="code_postal_holding">[3]Présentation!$C$38</definedName>
    <definedName name="Code_postal_RCS">[3]Présentation!$C$19</definedName>
    <definedName name="COEFETC">(100/100)</definedName>
    <definedName name="COEFETCRFA">(100/85.67)</definedName>
    <definedName name="contrat_femme_partiel">'[3]Données commerciales'!#REF!</definedName>
    <definedName name="contrat_femme_plein">'[3]Données commerciales'!#REF!</definedName>
    <definedName name="contrat_homme_partiel">'[3]Données commerciales'!#REF!</definedName>
    <definedName name="Contrat_hommes">'[3]Données commerciales'!#REF!</definedName>
    <definedName name="Contrat_hommes_plein">'[3]Données commerciales'!#REF!</definedName>
    <definedName name="Contrat2018test">[4]!Tableau11[#Data]</definedName>
    <definedName name="Contrats2018">[5]!Tableau11[#Data]</definedName>
    <definedName name="controle_qualite">'[3]Données commerciales'!$E$33</definedName>
    <definedName name="controle_travail_illegal">'[3]Données commerciales'!$E$12</definedName>
    <definedName name="criteres_selection">#REF!</definedName>
    <definedName name="date_création_holding">[3]Présentation!$C$40</definedName>
    <definedName name="Date_de_la_création">[3]Présentation!$C$10</definedName>
    <definedName name="développement_durable">[3]SSE!#REF!</definedName>
    <definedName name="Effectif_autres">'[3]Données commerciales'!#REF!</definedName>
    <definedName name="Effectif_etam">'[3]Données commerciales'!#REF!</definedName>
    <definedName name="Effectif_moyen">'[3]Données commerciales'!$E$10</definedName>
    <definedName name="Effectif_total">'[3]Données commerciales'!#REF!</definedName>
    <definedName name="Effectif_total_france">[3]Présentation!$C$23</definedName>
    <definedName name="Effectif_total_idf">[3]Présentation!#REF!</definedName>
    <definedName name="essai">#REF!</definedName>
    <definedName name="estima">#REF!</definedName>
    <definedName name="facteurs_succes">'[3]Données commerciales'!#REF!</definedName>
    <definedName name="familleachats">'[6]Acheteur Leader'!$C$2:$C$141</definedName>
    <definedName name="fax">[3]Présentation!$C$55</definedName>
    <definedName name="fonction">[3]Présentation!$C$52</definedName>
    <definedName name="Forme_Juridique">[3]Présentation!$C$11</definedName>
    <definedName name="heure_securité_prévention">[3]SSE!$D$20</definedName>
    <definedName name="_xlnm.Print_Titles" localSheetId="2">'Contacts &amp; Conditions'!$1:$6</definedName>
    <definedName name="_xlnm.Print_Titles" localSheetId="1">'Tarif global'!$1:$7</definedName>
    <definedName name="_xlnm.Print_Titles" localSheetId="0">'Tarif MCBE'!$1:$7</definedName>
    <definedName name="iso_26000">[3]SSE!$D$67</definedName>
    <definedName name="iso9001_siege">'[3]Données commerciales'!$D$40</definedName>
    <definedName name="iso9001_site_filiale">'[3]Données commerciales'!$E$40</definedName>
    <definedName name="JAN">#REF!</definedName>
    <definedName name="Jmoi">'[7]CA-JEXP'!$T$2</definedName>
    <definedName name="Jpos">'[7]CA-JEXP'!$T$3</definedName>
    <definedName name="listen">OFFSET([8]SEGMENTATION!$G$2,,,COUNTA([8]SEGMENTATION!$G:$G)-1)</definedName>
    <definedName name="ListeN1">OFFSET([8]SEGMENTATION!$G$2,,,COUNTA([8]SEGMENTATION!#REF!)-1)</definedName>
    <definedName name="ListeN2">[8]SEGMENTATION!$I$2:$I$1019</definedName>
    <definedName name="ListeN3">[8]SEGMENTATION!$K$2:$K$1019</definedName>
    <definedName name="ListeN4">[8]SEGMENTATION!$M$2:$M$1019</definedName>
    <definedName name="ListeSuivi">[2]Feuil2!$B$2:$B$4</definedName>
    <definedName name="lutte_fraude_corruption">[3]SSE!#REF!</definedName>
    <definedName name="mail">[3]Présentation!$C$56</definedName>
    <definedName name="mail_directeur_commercial">[3]Présentation!$F$61</definedName>
    <definedName name="mail_directeur_exploitation">[3]Présentation!$F$62</definedName>
    <definedName name="mail_directeur_général">[3]Présentation!$F$60</definedName>
    <definedName name="masse_salariale">'[3]Informations financières'!#REF!</definedName>
    <definedName name="mesure_usurpation_identité">[3]SSE!#REF!</definedName>
    <definedName name="montant_formation_salaries">'[3]Informations financières'!#REF!</definedName>
    <definedName name="nb_salarie_formation">'[3]Données commerciales'!#REF!</definedName>
    <definedName name="nb_salarié_france">'[3]Données commerciales'!#REF!</definedName>
    <definedName name="nb_salarié_idf">'[3]Données commerciales'!#REF!</definedName>
    <definedName name="Nbr_agence_france">'[3]Réseau commercial'!$D$9</definedName>
    <definedName name="Nbr_agence_Idf">'[3]Réseau commercial'!$J$9</definedName>
    <definedName name="Nbr_sous_traitant">#REF!</definedName>
    <definedName name="nom_directeur_commercial">[3]Présentation!$C$61</definedName>
    <definedName name="nom_directeur_exploitation">[3]Présentation!$C$62</definedName>
    <definedName name="nom_directeur_général">[3]Présentation!$C$60</definedName>
    <definedName name="Nom_Donné">[3]Présentation!$C$9</definedName>
    <definedName name="nom_gestionnaire">[3]Présentation!$C$50</definedName>
    <definedName name="Noms_actionnaires">[3]Présentation!$C$41</definedName>
    <definedName name="noms_filiales">[3]Présentation!$C$42</definedName>
    <definedName name="Numéro_agrément_prefectoral">[3]Présentation!$C$22</definedName>
    <definedName name="Numéro_intracommunautaire">[3]Présentation!$C$21</definedName>
    <definedName name="Numéro_RCS">[3]Présentation!$C$17</definedName>
    <definedName name="OuiNon">#REF!</definedName>
    <definedName name="outil_suivi_internet">'[3]Données commerciales'!$E$35</definedName>
    <definedName name="ParentN2">[8]SEGMENTATION!$H$2:$H$1019</definedName>
    <definedName name="ParentN3">[8]SEGMENTATION!$J$2:$J$1019</definedName>
    <definedName name="ParentN4">[8]SEGMENTATION!$L$2:$L$1019</definedName>
    <definedName name="part_CA_sous_traitance">#REF!</definedName>
    <definedName name="Plan_actions">#REF!</definedName>
    <definedName name="politique_diversité">[3]SSE!#REF!</definedName>
    <definedName name="politique_formation">'[3]Données commerciales'!#REF!</definedName>
    <definedName name="politique_insertion">[3]SSE!$G$43</definedName>
    <definedName name="politique_investissement">[3]SSE!$E$77</definedName>
    <definedName name="politique_santé_securité">[3]SSE!$D$15</definedName>
    <definedName name="politique_travailleurs_handicapés">[3]SSE!$G$38</definedName>
    <definedName name="portable_gestionnaire">[3]Présentation!$C$54</definedName>
    <definedName name="pourcentage_capital_actionnaire1">[3]Présentation!$E$29</definedName>
    <definedName name="pourcentage_capital_actionnaire2">[3]Présentation!$E$30</definedName>
    <definedName name="pourcentage_capital_actionnaire3">[3]Présentation!$E$31</definedName>
    <definedName name="pourcentage_capital_actionnaire4">[3]Présentation!$E$32</definedName>
    <definedName name="prénom_gestionnaire">[3]Présentation!$C$51</definedName>
    <definedName name="prestations">'[3]Données commerciales'!$D$32</definedName>
    <definedName name="PRODUIT">#REF!</definedName>
    <definedName name="produits_écolabélisés">[3]SSE!$E$73</definedName>
    <definedName name="proportion">[3]SSE!$D$74</definedName>
    <definedName name="qu">#REF!</definedName>
    <definedName name="Raison_social_holding">[3]Présentation!$C$37</definedName>
    <definedName name="Rapport_activite">#REF!</definedName>
    <definedName name="re">#REF!</definedName>
    <definedName name="salariés_formation">[3]SSE!#REF!</definedName>
    <definedName name="salaries_quittent_entreprise">'[3]Données commerciales'!#REF!</definedName>
    <definedName name="sensibilisation_personnel">[3]SSE!$E$70</definedName>
    <definedName name="sensibilisation_travail_illégal">[3]SSE!#REF!</definedName>
    <definedName name="si_oui_avec_qui">[3]Présentation!$C$44</definedName>
    <definedName name="site_internet">[3]Présentation!$C$57</definedName>
    <definedName name="sousfamilles">'[6]Acheteur Leader'!$E$2:$E$426</definedName>
    <definedName name="tel_directeur_commercial">[3]Présentation!$E$61</definedName>
    <definedName name="tel_directeur_exploitation">[3]Présentation!$E$62</definedName>
    <definedName name="tel_directeur_général">[3]Présentation!$E$60</definedName>
    <definedName name="tel_gestionnaire">[3]Présentation!$C$53</definedName>
    <definedName name="ter">#REF!</definedName>
    <definedName name="tri">#REF!</definedName>
    <definedName name="tx_abstenteisme">'[3]Données commerciales'!#REF!</definedName>
    <definedName name="tx_encadrement">'[3]Données commerciales'!#REF!</definedName>
    <definedName name="tx_fréquence">[3]SSE!$C$32</definedName>
    <definedName name="tx_gravité">[3]SSE!$C$33</definedName>
    <definedName name="tx_roulement">'[3]Données commerciales'!#REF!</definedName>
    <definedName name="typeachats">'[6]Acheteur Leader'!$A$2:$A$5</definedName>
    <definedName name="vérif_identité">[3]SSE!#REF!</definedName>
    <definedName name="verif_txfréquence_gravité">[3]SSE!#REF!</definedName>
    <definedName name="Ville">[3]Présentation!$C$16</definedName>
    <definedName name="Ville_enregistrement_RCS">[3]Présentation!$C$18</definedName>
    <definedName name="ville_holding">[3]Présentation!$C$39</definedName>
    <definedName name="visite_médicale">[3]SSE!#REF!</definedName>
    <definedName name="volume_horaire">'[3]Données commerciales'!#REF!</definedName>
    <definedName name="_xlnm.Print_Area" localSheetId="2">'Contacts &amp; Conditions'!$A$1:$F$11</definedName>
    <definedName name="_xlnm.Print_Area" localSheetId="1">'Tarif global'!$A$1:$M$142</definedName>
    <definedName name="_xlnm.Print_Area" localSheetId="0">'Tarif MCBE'!$A$1:$P$39</definedName>
    <definedName name="zone_gegraphique">'[3]Données commerciales'!$F$30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9" i="11" l="1"/>
  <c r="J94" i="11"/>
  <c r="J93" i="11"/>
  <c r="J92" i="11"/>
  <c r="K113" i="11"/>
  <c r="K114" i="11"/>
  <c r="K115" i="11"/>
  <c r="K116" i="11"/>
  <c r="K117" i="11"/>
  <c r="K118" i="11"/>
  <c r="K120" i="11"/>
  <c r="K121" i="11"/>
  <c r="K122" i="11"/>
  <c r="K112" i="11"/>
  <c r="L112" i="11" s="1"/>
  <c r="L48" i="11"/>
  <c r="L47" i="11"/>
  <c r="D113" i="11" l="1"/>
  <c r="D114" i="11"/>
  <c r="D115" i="11"/>
  <c r="D116" i="11"/>
  <c r="D117" i="11"/>
  <c r="D118" i="11"/>
  <c r="D120" i="11"/>
  <c r="D121" i="11"/>
  <c r="D122" i="11"/>
  <c r="D112" i="11"/>
  <c r="L113" i="11"/>
  <c r="L114" i="11"/>
  <c r="L115" i="11"/>
  <c r="L116" i="11"/>
  <c r="L117" i="11"/>
  <c r="L118" i="11"/>
  <c r="L120" i="11"/>
  <c r="L121" i="11"/>
  <c r="L122" i="11"/>
  <c r="P122" i="11" l="1"/>
  <c r="P121" i="11"/>
  <c r="P120" i="11"/>
  <c r="P118" i="11"/>
  <c r="P117" i="11"/>
  <c r="P116" i="11"/>
  <c r="P115" i="11"/>
  <c r="P114" i="11"/>
  <c r="P113" i="11"/>
  <c r="P112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P71" i="11"/>
  <c r="P72" i="11"/>
  <c r="P73" i="11"/>
  <c r="P74" i="11"/>
  <c r="P75" i="11"/>
  <c r="P76" i="11"/>
  <c r="P77" i="11"/>
  <c r="P78" i="11"/>
  <c r="P79" i="11"/>
  <c r="P80" i="11"/>
  <c r="P81" i="11"/>
  <c r="P82" i="11"/>
  <c r="P83" i="11"/>
  <c r="P84" i="11"/>
  <c r="P86" i="11"/>
  <c r="P87" i="11"/>
  <c r="P88" i="11"/>
  <c r="P89" i="11"/>
  <c r="P90" i="11"/>
  <c r="P91" i="11"/>
  <c r="P92" i="11"/>
  <c r="P93" i="11"/>
  <c r="P94" i="11"/>
  <c r="P95" i="11"/>
  <c r="P96" i="11"/>
  <c r="P97" i="11"/>
  <c r="P98" i="11"/>
  <c r="P99" i="11"/>
  <c r="P100" i="11"/>
  <c r="P101" i="11"/>
  <c r="P102" i="11"/>
  <c r="P103" i="11"/>
  <c r="P104" i="11"/>
  <c r="P105" i="11"/>
  <c r="P106" i="11"/>
  <c r="P107" i="11"/>
  <c r="P108" i="11"/>
  <c r="P109" i="11"/>
  <c r="P110" i="11"/>
  <c r="P111" i="11"/>
  <c r="P8" i="11"/>
  <c r="J85" i="11"/>
  <c r="P85" i="11" s="1"/>
  <c r="L15" i="11" l="1"/>
  <c r="L17" i="11"/>
  <c r="L21" i="11"/>
  <c r="L22" i="11"/>
  <c r="L74" i="11"/>
  <c r="L26" i="11"/>
  <c r="L110" i="11"/>
  <c r="L109" i="11"/>
  <c r="L108" i="11"/>
  <c r="L107" i="11"/>
  <c r="L43" i="11" l="1"/>
  <c r="L19" i="11"/>
  <c r="L45" i="11"/>
  <c r="L44" i="11"/>
  <c r="L12" i="11"/>
  <c r="L11" i="11"/>
  <c r="L13" i="11"/>
  <c r="L14" i="11"/>
  <c r="L35" i="11"/>
  <c r="L10" i="11"/>
  <c r="L40" i="11"/>
  <c r="L41" i="11"/>
  <c r="L18" i="11"/>
  <c r="L111" i="11"/>
  <c r="L16" i="11"/>
  <c r="L33" i="11"/>
  <c r="L34" i="11"/>
  <c r="L31" i="11"/>
  <c r="L8" i="11"/>
  <c r="L106" i="11"/>
  <c r="L105" i="11"/>
  <c r="L104" i="11"/>
  <c r="L103" i="11"/>
  <c r="L32" i="11"/>
  <c r="L30" i="11"/>
  <c r="L29" i="11"/>
  <c r="L28" i="11"/>
  <c r="L27" i="11"/>
  <c r="L102" i="11"/>
  <c r="L101" i="11"/>
  <c r="L100" i="11"/>
  <c r="L99" i="11"/>
  <c r="L76" i="11"/>
  <c r="L66" i="11"/>
  <c r="L78" i="11"/>
  <c r="L64" i="11"/>
  <c r="L63" i="11"/>
  <c r="L82" i="11"/>
  <c r="L65" i="11"/>
  <c r="L98" i="11"/>
  <c r="L60" i="11"/>
  <c r="L83" i="11"/>
  <c r="L62" i="11"/>
  <c r="L89" i="11"/>
  <c r="L93" i="11"/>
  <c r="L97" i="11"/>
  <c r="L72" i="11"/>
  <c r="L67" i="11"/>
  <c r="L55" i="11"/>
  <c r="L52" i="11"/>
  <c r="L69" i="11"/>
  <c r="L96" i="11"/>
  <c r="L53" i="11"/>
  <c r="L68" i="11"/>
  <c r="L92" i="11"/>
  <c r="L94" i="11"/>
  <c r="L77" i="11"/>
  <c r="L70" i="11"/>
  <c r="L61" i="11"/>
  <c r="L56" i="11"/>
  <c r="L71" i="11"/>
  <c r="L81" i="11"/>
  <c r="L51" i="11"/>
  <c r="L23" i="11"/>
  <c r="L57" i="11"/>
  <c r="L24" i="11"/>
  <c r="L75" i="11"/>
  <c r="L84" i="11"/>
  <c r="L54" i="11"/>
  <c r="L95" i="11"/>
  <c r="L91" i="11"/>
  <c r="L90" i="11"/>
  <c r="L88" i="11"/>
  <c r="L87" i="11"/>
  <c r="L85" i="11"/>
  <c r="L80" i="11"/>
  <c r="L25" i="11"/>
  <c r="L79" i="11"/>
  <c r="L73" i="11"/>
  <c r="L20" i="11"/>
  <c r="L59" i="11"/>
  <c r="L50" i="11"/>
  <c r="L49" i="11"/>
  <c r="L37" i="11"/>
  <c r="L36" i="11"/>
  <c r="L39" i="11"/>
  <c r="L38" i="11"/>
  <c r="L86" i="11"/>
  <c r="L42" i="11"/>
  <c r="L58" i="11"/>
  <c r="L46" i="11"/>
  <c r="L9" i="11"/>
  <c r="I12" i="9"/>
  <c r="I726" i="9"/>
  <c r="I725" i="9"/>
  <c r="I724" i="9"/>
  <c r="I723" i="9"/>
  <c r="I722" i="9"/>
  <c r="I721" i="9"/>
  <c r="I720" i="9"/>
  <c r="I719" i="9"/>
  <c r="I718" i="9"/>
  <c r="I717" i="9"/>
  <c r="I716" i="9"/>
  <c r="I715" i="9"/>
  <c r="I714" i="9"/>
  <c r="I713" i="9"/>
  <c r="I712" i="9"/>
  <c r="I710" i="9"/>
  <c r="I709" i="9"/>
  <c r="I708" i="9"/>
  <c r="I707" i="9"/>
  <c r="I706" i="9"/>
  <c r="I705" i="9"/>
  <c r="I704" i="9"/>
  <c r="F704" i="9"/>
  <c r="I703" i="9"/>
  <c r="I702" i="9"/>
  <c r="I701" i="9"/>
  <c r="I700" i="9"/>
  <c r="I699" i="9"/>
  <c r="I698" i="9"/>
  <c r="I697" i="9"/>
  <c r="I696" i="9"/>
  <c r="I695" i="9"/>
  <c r="I694" i="9"/>
  <c r="I693" i="9"/>
  <c r="I692" i="9"/>
  <c r="I691" i="9"/>
  <c r="I690" i="9"/>
  <c r="I689" i="9"/>
  <c r="I688" i="9"/>
  <c r="I687" i="9"/>
  <c r="I686" i="9"/>
  <c r="I685" i="9"/>
  <c r="I684" i="9"/>
  <c r="I683" i="9"/>
  <c r="I682" i="9"/>
  <c r="I681" i="9"/>
  <c r="I680" i="9"/>
  <c r="I679" i="9"/>
  <c r="I678" i="9"/>
  <c r="I677" i="9"/>
  <c r="I676" i="9"/>
  <c r="I675" i="9"/>
  <c r="I674" i="9"/>
  <c r="I667" i="9"/>
  <c r="I498" i="9"/>
  <c r="I497" i="9"/>
  <c r="I496" i="9"/>
  <c r="I494" i="9"/>
  <c r="I666" i="9"/>
  <c r="I665" i="9"/>
  <c r="I493" i="9"/>
  <c r="I664" i="9"/>
  <c r="I500" i="9"/>
  <c r="I663" i="9"/>
  <c r="I662" i="9"/>
  <c r="I661" i="9"/>
  <c r="D661" i="9"/>
  <c r="I660" i="9"/>
  <c r="D660" i="9"/>
  <c r="I659" i="9"/>
  <c r="I24" i="9"/>
  <c r="I23" i="9"/>
  <c r="I22" i="9"/>
  <c r="I21" i="9"/>
  <c r="I20" i="9"/>
  <c r="I553" i="9"/>
  <c r="I552" i="9"/>
  <c r="I551" i="9"/>
  <c r="I620" i="9"/>
  <c r="I550" i="9"/>
  <c r="I549" i="9"/>
  <c r="I548" i="9"/>
  <c r="I547" i="9"/>
  <c r="I546" i="9"/>
  <c r="I388" i="9"/>
  <c r="I391" i="9"/>
  <c r="I389" i="9"/>
  <c r="I393" i="9"/>
  <c r="I385" i="9"/>
  <c r="I392" i="9"/>
  <c r="I369" i="9"/>
  <c r="I351" i="9"/>
  <c r="I469" i="9"/>
  <c r="I462" i="9"/>
  <c r="I461" i="9"/>
  <c r="I370" i="9"/>
  <c r="I352" i="9"/>
  <c r="I470" i="9"/>
  <c r="I374" i="9"/>
  <c r="I353" i="9"/>
  <c r="I485" i="9"/>
  <c r="I40" i="9"/>
  <c r="I39" i="9"/>
  <c r="I612" i="9"/>
  <c r="I611" i="9"/>
  <c r="I610" i="9"/>
  <c r="I609" i="9"/>
  <c r="I608" i="9"/>
  <c r="I607" i="9"/>
  <c r="I606" i="9"/>
  <c r="I605" i="9"/>
  <c r="I38" i="9"/>
  <c r="I37" i="9"/>
  <c r="I653" i="9"/>
  <c r="I652" i="9"/>
  <c r="I545" i="9"/>
  <c r="I604" i="9"/>
  <c r="I34" i="9"/>
  <c r="I603" i="9"/>
  <c r="I602" i="9"/>
  <c r="I592" i="9"/>
  <c r="I591" i="9"/>
  <c r="I590" i="9"/>
  <c r="I588" i="9"/>
  <c r="I587" i="9"/>
  <c r="I586" i="9"/>
  <c r="I585" i="9"/>
  <c r="I601" i="9"/>
  <c r="I600" i="9"/>
  <c r="I599" i="9"/>
  <c r="I598" i="9"/>
  <c r="I597" i="9"/>
  <c r="I596" i="9"/>
  <c r="I595" i="9"/>
  <c r="I594" i="9"/>
  <c r="I593" i="9"/>
  <c r="I584" i="9"/>
  <c r="I583" i="9"/>
  <c r="I544" i="9"/>
  <c r="I589" i="9"/>
  <c r="I582" i="9"/>
  <c r="I581" i="9"/>
  <c r="I580" i="9"/>
  <c r="I579" i="9"/>
  <c r="I578" i="9"/>
  <c r="I577" i="9"/>
  <c r="I576" i="9"/>
  <c r="I575" i="9"/>
  <c r="I574" i="9"/>
  <c r="I573" i="9"/>
  <c r="I572" i="9"/>
  <c r="I571" i="9"/>
  <c r="I570" i="9"/>
  <c r="I569" i="9"/>
  <c r="I568" i="9"/>
  <c r="I567" i="9"/>
  <c r="I566" i="9"/>
  <c r="I565" i="9"/>
  <c r="I564" i="9"/>
  <c r="I563" i="9"/>
  <c r="I562" i="9"/>
  <c r="I561" i="9"/>
  <c r="I560" i="9"/>
  <c r="I559" i="9"/>
  <c r="I543" i="9"/>
  <c r="I542" i="9"/>
  <c r="I541" i="9"/>
  <c r="I540" i="9"/>
  <c r="I539" i="9"/>
  <c r="I538" i="9"/>
  <c r="I537" i="9"/>
  <c r="I536" i="9"/>
  <c r="I535" i="9"/>
  <c r="I534" i="9"/>
  <c r="I533" i="9"/>
  <c r="I558" i="9"/>
  <c r="I557" i="9"/>
  <c r="I532" i="9"/>
  <c r="I531" i="9"/>
  <c r="I530" i="9"/>
  <c r="I529" i="9"/>
  <c r="I528" i="9"/>
  <c r="I527" i="9"/>
  <c r="I526" i="9"/>
  <c r="I525" i="9"/>
  <c r="I524" i="9"/>
  <c r="I523" i="9"/>
  <c r="I522" i="9"/>
  <c r="I521" i="9"/>
  <c r="I520" i="9"/>
  <c r="I519" i="9"/>
  <c r="I518" i="9"/>
  <c r="I517" i="9"/>
  <c r="I516" i="9"/>
  <c r="I504" i="9"/>
  <c r="I503" i="9"/>
  <c r="I502" i="9"/>
  <c r="I619" i="9"/>
  <c r="I618" i="9"/>
  <c r="I617" i="9"/>
  <c r="I616" i="9"/>
  <c r="I556" i="9"/>
  <c r="I555" i="9"/>
  <c r="I615" i="9"/>
  <c r="I501" i="9"/>
  <c r="I495" i="9"/>
  <c r="I466" i="9"/>
  <c r="I59" i="9"/>
  <c r="I56" i="9"/>
  <c r="I55" i="9"/>
  <c r="I54" i="9"/>
  <c r="I53" i="9"/>
  <c r="I614" i="9"/>
  <c r="I16" i="9"/>
  <c r="I15" i="9"/>
  <c r="I14" i="9"/>
  <c r="I13" i="9"/>
  <c r="I323" i="9"/>
  <c r="I322" i="9"/>
  <c r="I321" i="9"/>
  <c r="I320" i="9"/>
  <c r="I319" i="9"/>
  <c r="I317" i="9"/>
  <c r="I316" i="9"/>
  <c r="I52" i="9"/>
  <c r="I51" i="9"/>
  <c r="I42" i="9"/>
  <c r="I41" i="9"/>
  <c r="I344" i="9"/>
  <c r="I669" i="9"/>
  <c r="I668" i="9"/>
  <c r="I671" i="9"/>
  <c r="I673" i="9"/>
  <c r="I613" i="9"/>
  <c r="I672" i="9"/>
  <c r="I670" i="9"/>
  <c r="I492" i="9"/>
  <c r="I491" i="9"/>
  <c r="I490" i="9"/>
  <c r="I489" i="9"/>
  <c r="I488" i="9"/>
  <c r="I487" i="9"/>
  <c r="I486" i="9"/>
  <c r="I64" i="9"/>
  <c r="I302" i="9"/>
  <c r="I301" i="9"/>
  <c r="I300" i="9"/>
  <c r="I299" i="9"/>
  <c r="I298" i="9"/>
  <c r="I297" i="9"/>
  <c r="I632" i="9"/>
  <c r="I477" i="9"/>
  <c r="D477" i="9"/>
  <c r="I476" i="9"/>
  <c r="D476" i="9"/>
  <c r="I475" i="9"/>
  <c r="D475" i="9"/>
  <c r="I474" i="9"/>
  <c r="D474" i="9"/>
  <c r="I473" i="9"/>
  <c r="D473" i="9"/>
  <c r="I472" i="9"/>
  <c r="D472" i="9"/>
  <c r="I471" i="9"/>
  <c r="D471" i="9"/>
  <c r="I643" i="9"/>
  <c r="I642" i="9"/>
  <c r="I468" i="9"/>
  <c r="D468" i="9"/>
  <c r="I467" i="9"/>
  <c r="D467" i="9"/>
  <c r="I651" i="9"/>
  <c r="D651" i="9"/>
  <c r="I465" i="9"/>
  <c r="D465" i="9"/>
  <c r="I464" i="9"/>
  <c r="D464" i="9"/>
  <c r="I463" i="9"/>
  <c r="D463" i="9"/>
  <c r="I641" i="9"/>
  <c r="I640" i="9"/>
  <c r="I639" i="9"/>
  <c r="I459" i="9"/>
  <c r="I458" i="9"/>
  <c r="I457" i="9"/>
  <c r="I456" i="9"/>
  <c r="I455" i="9"/>
  <c r="I454" i="9"/>
  <c r="I453" i="9"/>
  <c r="I452" i="9"/>
  <c r="I451" i="9"/>
  <c r="I450" i="9"/>
  <c r="I449" i="9"/>
  <c r="I448" i="9"/>
  <c r="I447" i="9"/>
  <c r="I446" i="9"/>
  <c r="I445" i="9"/>
  <c r="I444" i="9"/>
  <c r="I443" i="9"/>
  <c r="I442" i="9"/>
  <c r="I441" i="9"/>
  <c r="I440" i="9"/>
  <c r="I439" i="9"/>
  <c r="I638" i="9"/>
  <c r="I637" i="9"/>
  <c r="I634" i="9"/>
  <c r="I636" i="9"/>
  <c r="I633" i="9"/>
  <c r="I631" i="9"/>
  <c r="I635" i="9"/>
  <c r="I431" i="9"/>
  <c r="I430" i="9"/>
  <c r="I429" i="9"/>
  <c r="I428" i="9"/>
  <c r="I427" i="9"/>
  <c r="I426" i="9"/>
  <c r="I425" i="9"/>
  <c r="I424" i="9"/>
  <c r="I727" i="9"/>
  <c r="I654" i="9"/>
  <c r="I421" i="9"/>
  <c r="I420" i="9"/>
  <c r="I419" i="9"/>
  <c r="I418" i="9"/>
  <c r="I417" i="9"/>
  <c r="I416" i="9"/>
  <c r="I415" i="9"/>
  <c r="I414" i="9"/>
  <c r="I413" i="9"/>
  <c r="I412" i="9"/>
  <c r="I411" i="9"/>
  <c r="I410" i="9"/>
  <c r="I409" i="9"/>
  <c r="I408" i="9"/>
  <c r="I407" i="9"/>
  <c r="I406" i="9"/>
  <c r="I405" i="9"/>
  <c r="I404" i="9"/>
  <c r="I403" i="9"/>
  <c r="I402" i="9"/>
  <c r="I401" i="9"/>
  <c r="I400" i="9"/>
  <c r="I399" i="9"/>
  <c r="I657" i="9"/>
  <c r="I656" i="9"/>
  <c r="I658" i="9"/>
  <c r="I655" i="9"/>
  <c r="I644" i="9"/>
  <c r="I134" i="9"/>
  <c r="I141" i="9"/>
  <c r="I142" i="9"/>
  <c r="I137" i="9"/>
  <c r="I140" i="9"/>
  <c r="I139" i="9"/>
  <c r="I138" i="9"/>
  <c r="I136" i="9"/>
  <c r="I135" i="9"/>
  <c r="I100" i="9"/>
  <c r="I105" i="9"/>
  <c r="I107" i="9"/>
  <c r="I84" i="9"/>
  <c r="I99" i="9"/>
  <c r="I143" i="9"/>
  <c r="I127" i="9"/>
  <c r="I129" i="9"/>
  <c r="I128" i="9"/>
  <c r="I123" i="9"/>
  <c r="I124" i="9"/>
  <c r="I125" i="9"/>
  <c r="I122" i="9"/>
  <c r="I126" i="9"/>
  <c r="I121" i="9"/>
  <c r="I120" i="9"/>
  <c r="I119" i="9"/>
  <c r="I118" i="9"/>
  <c r="I78" i="9"/>
  <c r="I91" i="9"/>
  <c r="I89" i="9"/>
  <c r="I88" i="9"/>
  <c r="I87" i="9"/>
  <c r="I95" i="9"/>
  <c r="I98" i="9"/>
  <c r="I97" i="9"/>
  <c r="I96" i="9"/>
  <c r="I94" i="9"/>
  <c r="I93" i="9"/>
  <c r="I92" i="9"/>
  <c r="I111" i="9"/>
  <c r="I110" i="9"/>
  <c r="I112" i="9"/>
  <c r="I114" i="9"/>
  <c r="I117" i="9"/>
  <c r="I115" i="9"/>
  <c r="I116" i="9"/>
  <c r="I109" i="9"/>
  <c r="I108" i="9"/>
  <c r="I106" i="9"/>
  <c r="I499" i="9"/>
  <c r="I104" i="9"/>
  <c r="I103" i="9"/>
  <c r="I102" i="9"/>
  <c r="I101" i="9"/>
  <c r="I83" i="9"/>
  <c r="I81" i="9"/>
  <c r="I82" i="9"/>
  <c r="I86" i="9"/>
  <c r="I85" i="9"/>
  <c r="I133" i="9"/>
  <c r="I130" i="9"/>
  <c r="I151" i="9"/>
  <c r="I150" i="9"/>
  <c r="I148" i="9"/>
  <c r="I158" i="9"/>
  <c r="I157" i="9"/>
  <c r="I155" i="9"/>
  <c r="I154" i="9"/>
  <c r="I156" i="9"/>
  <c r="I153" i="9"/>
  <c r="I152" i="9"/>
  <c r="I149" i="9"/>
  <c r="I160" i="9"/>
  <c r="I159" i="9"/>
  <c r="I132" i="9"/>
  <c r="I79" i="9"/>
  <c r="I80" i="9"/>
  <c r="I90" i="9"/>
  <c r="I131" i="9"/>
  <c r="I113" i="9"/>
  <c r="I144" i="9"/>
  <c r="I147" i="9"/>
  <c r="I146" i="9"/>
  <c r="I145" i="9"/>
  <c r="I362" i="9"/>
  <c r="I363" i="9"/>
  <c r="I334" i="9"/>
  <c r="I395" i="9"/>
  <c r="I435" i="9"/>
  <c r="I434" i="9"/>
  <c r="I433" i="9"/>
  <c r="I423" i="9"/>
  <c r="I398" i="9"/>
  <c r="I432" i="9"/>
  <c r="I365" i="9"/>
  <c r="I335" i="9"/>
  <c r="I397" i="9"/>
  <c r="I354" i="9"/>
  <c r="I325" i="9"/>
  <c r="I422" i="9"/>
  <c r="I364" i="9"/>
  <c r="I292" i="9"/>
  <c r="I291" i="9"/>
  <c r="I290" i="9"/>
  <c r="I289" i="9"/>
  <c r="I324" i="9"/>
  <c r="I287" i="9"/>
  <c r="I286" i="9"/>
  <c r="I285" i="9"/>
  <c r="I284" i="9"/>
  <c r="I283" i="9"/>
  <c r="I282" i="9"/>
  <c r="I281" i="9"/>
  <c r="I280" i="9"/>
  <c r="I279" i="9"/>
  <c r="I278" i="9"/>
  <c r="I277" i="9"/>
  <c r="I276" i="9"/>
  <c r="I275" i="9"/>
  <c r="I274" i="9"/>
  <c r="I273" i="9"/>
  <c r="I272" i="9"/>
  <c r="I271" i="9"/>
  <c r="I270" i="9"/>
  <c r="I269" i="9"/>
  <c r="I268" i="9"/>
  <c r="I267" i="9"/>
  <c r="I266" i="9"/>
  <c r="I265" i="9"/>
  <c r="I264" i="9"/>
  <c r="I263" i="9"/>
  <c r="I262" i="9"/>
  <c r="I261" i="9"/>
  <c r="I260" i="9"/>
  <c r="I396" i="9"/>
  <c r="I258" i="9"/>
  <c r="I257" i="9"/>
  <c r="I256" i="9"/>
  <c r="I255" i="9"/>
  <c r="I254" i="9"/>
  <c r="I253" i="9"/>
  <c r="I252" i="9"/>
  <c r="I251" i="9"/>
  <c r="I250" i="9"/>
  <c r="I249" i="9"/>
  <c r="I248" i="9"/>
  <c r="I247" i="9"/>
  <c r="I246" i="9"/>
  <c r="I245" i="9"/>
  <c r="I244" i="9"/>
  <c r="I243" i="9"/>
  <c r="I242" i="9"/>
  <c r="I241" i="9"/>
  <c r="I240" i="9"/>
  <c r="I239" i="9"/>
  <c r="I63" i="9"/>
  <c r="I237" i="9"/>
  <c r="I236" i="9"/>
  <c r="I235" i="9"/>
  <c r="I234" i="9"/>
  <c r="I233" i="9"/>
  <c r="I232" i="9"/>
  <c r="I231" i="9"/>
  <c r="I230" i="9"/>
  <c r="I229" i="9"/>
  <c r="I228" i="9"/>
  <c r="I227" i="9"/>
  <c r="I226" i="9"/>
  <c r="I225" i="9"/>
  <c r="I62" i="9"/>
  <c r="I223" i="9"/>
  <c r="I222" i="9"/>
  <c r="I221" i="9"/>
  <c r="I220" i="9"/>
  <c r="I219" i="9"/>
  <c r="I218" i="9"/>
  <c r="I61" i="9"/>
  <c r="I216" i="9"/>
  <c r="I215" i="9"/>
  <c r="I214" i="9"/>
  <c r="I213" i="9"/>
  <c r="I212" i="9"/>
  <c r="I211" i="9"/>
  <c r="I210" i="9"/>
  <c r="I209" i="9"/>
  <c r="I208" i="9"/>
  <c r="I207" i="9"/>
  <c r="I206" i="9"/>
  <c r="I205" i="9"/>
  <c r="I204" i="9"/>
  <c r="I203" i="9"/>
  <c r="I202" i="9"/>
  <c r="I201" i="9"/>
  <c r="I200" i="9"/>
  <c r="I199" i="9"/>
  <c r="I198" i="9"/>
  <c r="I197" i="9"/>
  <c r="I196" i="9"/>
  <c r="I195" i="9"/>
  <c r="I194" i="9"/>
  <c r="I193" i="9"/>
  <c r="I192" i="9"/>
  <c r="I191" i="9"/>
  <c r="I190" i="9"/>
  <c r="I189" i="9"/>
  <c r="I188" i="9"/>
  <c r="I187" i="9"/>
  <c r="I186" i="9"/>
  <c r="I185" i="9"/>
  <c r="I184" i="9"/>
  <c r="I183" i="9"/>
  <c r="I182" i="9"/>
  <c r="I181" i="9"/>
  <c r="I180" i="9"/>
  <c r="I179" i="9"/>
  <c r="I178" i="9"/>
  <c r="I177" i="9"/>
  <c r="I176" i="9"/>
  <c r="I175" i="9"/>
  <c r="I60" i="9"/>
  <c r="I650" i="9"/>
  <c r="I387" i="9"/>
  <c r="I390" i="9"/>
  <c r="I366" i="9"/>
  <c r="I336" i="9"/>
  <c r="I436" i="9"/>
  <c r="I367" i="9"/>
  <c r="I337" i="9"/>
  <c r="I437" i="9"/>
  <c r="I58" i="9"/>
  <c r="I57" i="9"/>
  <c r="I649" i="9"/>
  <c r="I648" i="9"/>
  <c r="I647" i="9"/>
  <c r="I646" i="9"/>
  <c r="I645" i="9"/>
  <c r="I627" i="9"/>
  <c r="I50" i="9"/>
  <c r="I49" i="9"/>
  <c r="I48" i="9"/>
  <c r="I47" i="9"/>
  <c r="I43" i="9"/>
  <c r="I384" i="9"/>
  <c r="I511" i="9"/>
  <c r="I355" i="9"/>
  <c r="I326" i="9"/>
  <c r="I438" i="9"/>
  <c r="I368" i="9"/>
  <c r="I338" i="9"/>
  <c r="I460" i="9"/>
  <c r="I626" i="9"/>
  <c r="I625" i="9"/>
  <c r="I624" i="9"/>
  <c r="I623" i="9"/>
  <c r="I622" i="9"/>
  <c r="I621" i="9"/>
  <c r="I356" i="9"/>
  <c r="I327" i="9"/>
  <c r="I478" i="9"/>
  <c r="I371" i="9"/>
  <c r="I339" i="9"/>
  <c r="I479" i="9"/>
  <c r="I36" i="9"/>
  <c r="I484" i="9"/>
  <c r="I483" i="9"/>
  <c r="I373" i="9"/>
  <c r="I341" i="9"/>
  <c r="I481" i="9"/>
  <c r="I372" i="9"/>
  <c r="I340" i="9"/>
  <c r="I480" i="9"/>
  <c r="I357" i="9"/>
  <c r="I328" i="9"/>
  <c r="I482" i="9"/>
  <c r="I35" i="9"/>
  <c r="I375" i="9"/>
  <c r="I342" i="9"/>
  <c r="I505" i="9"/>
  <c r="I358" i="9"/>
  <c r="I329" i="9"/>
  <c r="I506" i="9"/>
  <c r="I554" i="9"/>
  <c r="I33" i="9"/>
  <c r="I32" i="9"/>
  <c r="I31" i="9"/>
  <c r="I30" i="9"/>
  <c r="I29" i="9"/>
  <c r="I28" i="9"/>
  <c r="I25" i="9"/>
  <c r="I376" i="9"/>
  <c r="I343" i="9"/>
  <c r="I507" i="9"/>
  <c r="I379" i="9"/>
  <c r="I346" i="9"/>
  <c r="I510" i="9"/>
  <c r="I378" i="9"/>
  <c r="I345" i="9"/>
  <c r="I509" i="9"/>
  <c r="I380" i="9"/>
  <c r="I347" i="9"/>
  <c r="I512" i="9"/>
  <c r="I381" i="9"/>
  <c r="I348" i="9"/>
  <c r="I513" i="9"/>
  <c r="I359" i="9"/>
  <c r="I331" i="9"/>
  <c r="I514" i="9"/>
  <c r="I377" i="9"/>
  <c r="I330" i="9"/>
  <c r="I508" i="9"/>
  <c r="I386" i="9"/>
  <c r="I394" i="9"/>
  <c r="I382" i="9"/>
  <c r="I349" i="9"/>
  <c r="I515" i="9"/>
  <c r="I360" i="9"/>
  <c r="I332" i="9"/>
  <c r="I628" i="9"/>
  <c r="I361" i="9"/>
  <c r="I333" i="9"/>
  <c r="I629" i="9"/>
  <c r="I383" i="9"/>
  <c r="I350" i="9"/>
  <c r="I630" i="9"/>
  <c r="I318" i="9"/>
  <c r="I315" i="9"/>
  <c r="I314" i="9"/>
  <c r="I313" i="9"/>
  <c r="I312" i="9"/>
  <c r="I311" i="9"/>
  <c r="I310" i="9"/>
  <c r="I309" i="9"/>
  <c r="I308" i="9"/>
  <c r="I307" i="9"/>
  <c r="I306" i="9"/>
  <c r="I305" i="9"/>
  <c r="I304" i="9"/>
  <c r="I303" i="9"/>
  <c r="I296" i="9"/>
  <c r="I295" i="9"/>
  <c r="I294" i="9"/>
  <c r="I293" i="9"/>
  <c r="I288" i="9"/>
  <c r="I259" i="9"/>
  <c r="I238" i="9"/>
  <c r="I224" i="9"/>
  <c r="I217" i="9"/>
  <c r="I46" i="9"/>
  <c r="I45" i="9"/>
  <c r="I44" i="9"/>
  <c r="I174" i="9"/>
  <c r="I173" i="9"/>
  <c r="I172" i="9"/>
  <c r="I171" i="9"/>
  <c r="I170" i="9"/>
  <c r="I169" i="9"/>
  <c r="I168" i="9"/>
  <c r="I167" i="9"/>
  <c r="I166" i="9"/>
  <c r="I165" i="9"/>
  <c r="I164" i="9"/>
  <c r="I163" i="9"/>
  <c r="I162" i="9"/>
  <c r="I161" i="9"/>
  <c r="I77" i="9"/>
  <c r="I76" i="9"/>
  <c r="I27" i="9"/>
  <c r="I26" i="9"/>
  <c r="I75" i="9"/>
  <c r="I74" i="9"/>
  <c r="I73" i="9"/>
  <c r="I72" i="9"/>
  <c r="I71" i="9"/>
  <c r="I70" i="9"/>
  <c r="I19" i="9"/>
  <c r="I18" i="9"/>
  <c r="I17" i="9"/>
  <c r="I69" i="9"/>
  <c r="I68" i="9"/>
  <c r="I67" i="9"/>
  <c r="I66" i="9"/>
  <c r="I65" i="9"/>
  <c r="I11" i="9"/>
  <c r="I10" i="9"/>
  <c r="I9" i="9"/>
  <c r="I8" i="9"/>
</calcChain>
</file>

<file path=xl/sharedStrings.xml><?xml version="1.0" encoding="utf-8"?>
<sst xmlns="http://schemas.openxmlformats.org/spreadsheetml/2006/main" count="4582" uniqueCount="1669">
  <si>
    <t>TARIF GROUPE</t>
  </si>
  <si>
    <t>Fournisseur</t>
  </si>
  <si>
    <t>ALTEMA</t>
  </si>
  <si>
    <t>SIREN fournisseur</t>
  </si>
  <si>
    <t>Sociétés</t>
  </si>
  <si>
    <t>Toutes Sociétés Ramery</t>
  </si>
  <si>
    <t>Code Géry fournisseur</t>
  </si>
  <si>
    <t>Régions</t>
  </si>
  <si>
    <t>Toute France</t>
  </si>
  <si>
    <t>Début</t>
  </si>
  <si>
    <t>Fin</t>
  </si>
  <si>
    <t>Avant de commander, merci de consulter l'onglet "Contacts &amp; Conditions"</t>
  </si>
  <si>
    <t>EC* = Eco Contribution</t>
  </si>
  <si>
    <t>code ramery article générique</t>
  </si>
  <si>
    <t>Code article Ramery</t>
  </si>
  <si>
    <t>Famille</t>
  </si>
  <si>
    <t>Sous famille</t>
  </si>
  <si>
    <t>Marque fabricant</t>
  </si>
  <si>
    <t>Référence fabricant</t>
  </si>
  <si>
    <t>Libellé article</t>
  </si>
  <si>
    <t>Libellé article fournisseur</t>
  </si>
  <si>
    <t>référence fournisseur</t>
  </si>
  <si>
    <t>Tarif (€) HT hors EC*</t>
  </si>
  <si>
    <t>EC* (€)</t>
  </si>
  <si>
    <t>Tarif (€) avec EC*</t>
  </si>
  <si>
    <t xml:space="preserve">Unité de tarif </t>
  </si>
  <si>
    <t>Minimum commande</t>
  </si>
  <si>
    <t>coût  à l'unité</t>
  </si>
  <si>
    <t>MCBE014</t>
  </si>
  <si>
    <t>PASSAGE DE CÂBLES ET VENTILATION</t>
  </si>
  <si>
    <t>Chatière</t>
  </si>
  <si>
    <t>Chatière intégra - zinc Anthracite 60  cm²</t>
  </si>
  <si>
    <t>CHATIERE INTEGRA - ZINC ANTHRACITE - 60CM2 - COUVERTURE ARDOISE TP</t>
  </si>
  <si>
    <t>1CHATINT004</t>
  </si>
  <si>
    <t>Pièce</t>
  </si>
  <si>
    <t>MCBE052</t>
  </si>
  <si>
    <t>CHIMIE DU BATIMENT</t>
  </si>
  <si>
    <t>Mortier</t>
  </si>
  <si>
    <t>WEBER</t>
  </si>
  <si>
    <t>Mortier Cortacel - CEL Tuile B</t>
  </si>
  <si>
    <t>MORTIER CORTACEL - CEL TUILE BLANC CASSE - SAC 25 KG</t>
  </si>
  <si>
    <t>1MORTCOR002</t>
  </si>
  <si>
    <t>MCBE055</t>
  </si>
  <si>
    <t>Weber</t>
  </si>
  <si>
    <t>Weber CEL Tuile - Blanc cassé - 25kg</t>
  </si>
  <si>
    <t>MCBE057</t>
  </si>
  <si>
    <t>COLLE /MASTICS/SILICONE/PEINTURE</t>
  </si>
  <si>
    <t>Aerosol peinture</t>
  </si>
  <si>
    <t>FAYNOT</t>
  </si>
  <si>
    <t>Bombe aerosol - RAL 7016 400ml</t>
  </si>
  <si>
    <t>PEINTURE FAYNOT - RAL 7016 - B</t>
  </si>
  <si>
    <t>3PEINBOM</t>
  </si>
  <si>
    <t>MCBE058</t>
  </si>
  <si>
    <t>Bombe aerosol - RAL 9010 400ml</t>
  </si>
  <si>
    <t>PEINTURE FAYNOT - RAL 9010 - B</t>
  </si>
  <si>
    <t>3PEINBOM158</t>
  </si>
  <si>
    <t>MCBE059</t>
  </si>
  <si>
    <t>DALEP</t>
  </si>
  <si>
    <t>Bombe aerosol effet quartz 400 ml</t>
  </si>
  <si>
    <t>PEINTURE HAUTE TEMPERATURE - Q</t>
  </si>
  <si>
    <t>3PEINBOM023</t>
  </si>
  <si>
    <t>MCBE063</t>
  </si>
  <si>
    <t>mastics</t>
  </si>
  <si>
    <t>SOUDAL</t>
  </si>
  <si>
    <t>Mastic colle transparent 290 ml</t>
  </si>
  <si>
    <t>MASTIC COLLE POLYMERE HYBRIDE SOUDAL - FIX ALL CRYSTAL - CARTOUCHE 290 ML - 110980</t>
  </si>
  <si>
    <t>3MASTHYB018</t>
  </si>
  <si>
    <t>MCBE075</t>
  </si>
  <si>
    <t>COUVERTURE</t>
  </si>
  <si>
    <t>Tasseaux</t>
  </si>
  <si>
    <t>couvre joint de tete zinc naturel 0.65 x 100 x 200</t>
  </si>
  <si>
    <t>COUVRE JOINT DE TETE - ZINC NATUREL VM -DEV 100 MM EP 0,65 MM LG 200 MM</t>
  </si>
  <si>
    <t>1COJOTZNV10001</t>
  </si>
  <si>
    <t>MCBE076</t>
  </si>
  <si>
    <t>couvre joint de pied zinc naturel 0.65 x 100 x 250</t>
  </si>
  <si>
    <t>COUVRE JOINT DE PIED - ZINC NATUREL VM - DEV 100 MM</t>
  </si>
  <si>
    <t>1COJOPZNA10001</t>
  </si>
  <si>
    <t>MCBE077</t>
  </si>
  <si>
    <t>couvre joint de pied quartz naturel 0.65 x 100 x 200</t>
  </si>
  <si>
    <t>COUVRE JOINT DE PIED - ZINC QUARTZ</t>
  </si>
  <si>
    <t>1COJOPZCQ10001</t>
  </si>
  <si>
    <t>MCBE078</t>
  </si>
  <si>
    <t>couvre joint de tete quartz zinc 0.65 x 100 x 200</t>
  </si>
  <si>
    <t>COUVRE JOINT DE TETE - ZINC QUARTZ</t>
  </si>
  <si>
    <t>1COJOTZCQ10001</t>
  </si>
  <si>
    <t>MCBE090</t>
  </si>
  <si>
    <t>ENTRETIEN HYGIENE</t>
  </si>
  <si>
    <t>traitement</t>
  </si>
  <si>
    <t>Traitement anti dépôt verts DALEP PE  30 L</t>
  </si>
  <si>
    <t>FONGICIDE PRET A L'EMPLOI DALEP - DALEP PE - BIDON DE 30L - 130030</t>
  </si>
  <si>
    <t>3TRAIFON003</t>
  </si>
  <si>
    <t>MCBE161</t>
  </si>
  <si>
    <t>EVACUATION DES EAUX PLUVIALES</t>
  </si>
  <si>
    <t xml:space="preserve">coude cintre zinc </t>
  </si>
  <si>
    <t>coude cintre 72° diam. 80 zinc naturel</t>
  </si>
  <si>
    <t>COUDE CINTRE - ZINC NATUREL - D 80 - 72° - PETIT RAYON</t>
  </si>
  <si>
    <t>1COUCIZNA8004</t>
  </si>
  <si>
    <t>MCBE172</t>
  </si>
  <si>
    <t>crapaudine galva</t>
  </si>
  <si>
    <t>crapaudine exterieur galva droite 80/100</t>
  </si>
  <si>
    <t>CRAPAUDINE - ACIER GALVANISE - N°2 - D 80 / 100</t>
  </si>
  <si>
    <t>1CRAPAACG8002</t>
  </si>
  <si>
    <t>MCBE196</t>
  </si>
  <si>
    <t>Cuvette zinc</t>
  </si>
  <si>
    <t>cuvette branchement diam. 80 zinc naturel</t>
  </si>
  <si>
    <t>CUVETTE DE BRANCHEMENT - ZINC NATUREL - D 80</t>
  </si>
  <si>
    <t>1CUVBRZNA8001</t>
  </si>
  <si>
    <t>MCBE218</t>
  </si>
  <si>
    <t>EP alu doite</t>
  </si>
  <si>
    <t>evacuation eaux pluviale alu droite diamètre 100- hauteur 600</t>
  </si>
  <si>
    <t>EVACUATION EAU PLUVIALE - Ø 100 MM - PLATINE DEPALU DROITE - HT 500 MM</t>
  </si>
  <si>
    <t>1TROPLALN10050001</t>
  </si>
  <si>
    <t>MCBE226</t>
  </si>
  <si>
    <t>evacuation eaux pluviale alu droite diamètre 80- hauteur 600</t>
  </si>
  <si>
    <t>EVACUATION EAU PLUVIALE - Ø 80 MM - PLATINE DEPALU DROITE - HT 500 MM</t>
  </si>
  <si>
    <t>1TROPLALN8050001</t>
  </si>
  <si>
    <t>MCBE227</t>
  </si>
  <si>
    <t>EP alu droite</t>
  </si>
  <si>
    <t>evacuation eaux pluviale alu droite diamètre 90- hauteur 500</t>
  </si>
  <si>
    <t>EVACUATION EAU PLUVIALE - Ø 90 MM - PLATINE DEPALU DROITE - HT 500 MM</t>
  </si>
  <si>
    <t>1TROPLALN9050001</t>
  </si>
  <si>
    <t>MCBE342</t>
  </si>
  <si>
    <t>OUTILLAGE</t>
  </si>
  <si>
    <t>Tracette</t>
  </si>
  <si>
    <t>Tracette à Zinc</t>
  </si>
  <si>
    <t>TRACETTE A ZINC FREUND - INOX - 01132000</t>
  </si>
  <si>
    <t>3OUTTRAC001</t>
  </si>
  <si>
    <t>MCBE006</t>
  </si>
  <si>
    <t>Chapeau chinois</t>
  </si>
  <si>
    <t>Chapeau chinois N°1 de 80 à 120 mm</t>
  </si>
  <si>
    <t>CHAPEAU SUR COLLIER - ACIER GALVA - D 80 / 120 - N°0</t>
  </si>
  <si>
    <t>2CHAPGAL001</t>
  </si>
  <si>
    <t>MCBE007</t>
  </si>
  <si>
    <t>Chapeau chinois N°2 de 120 à 150 mm</t>
  </si>
  <si>
    <t>CHAPEAU SUR COLLIER - ACIER GALVA - D 120 / 150 - N°1</t>
  </si>
  <si>
    <t>2CHAPGAL002</t>
  </si>
  <si>
    <t>MCBE008</t>
  </si>
  <si>
    <t>Chapeau chinois N°3 de 150 à 180 mm</t>
  </si>
  <si>
    <t>CHAPEAU SUR COLLIER - ACIER GALVA - D 150 / 180 - N°2</t>
  </si>
  <si>
    <t>2CHAPGAL003</t>
  </si>
  <si>
    <t>MCBE015</t>
  </si>
  <si>
    <t xml:space="preserve">Closoir </t>
  </si>
  <si>
    <t>SALOLA</t>
  </si>
  <si>
    <t>Closoir 0,31*5m</t>
  </si>
  <si>
    <t>CLOSOIR VENTILE SOUPLE - SALOLA AEROLL-320MM X 5ML-ROUGE - ECLO320ROUGE/5M-501828</t>
  </si>
  <si>
    <t>1CLOSROLL007</t>
  </si>
  <si>
    <t>MCBE017</t>
  </si>
  <si>
    <t>Crosse alu</t>
  </si>
  <si>
    <t>Crosse alu Diamètre 40</t>
  </si>
  <si>
    <t>CROSSE - ALU - Ø 40 MM - HT400/200 (CINTRAGE)</t>
  </si>
  <si>
    <t>1CROSSALN4001</t>
  </si>
  <si>
    <t>MCBE020</t>
  </si>
  <si>
    <t>Terminal ubiflu</t>
  </si>
  <si>
    <t>ANJOS</t>
  </si>
  <si>
    <t>Terminal ANJOS CTM 315mm TUILE</t>
  </si>
  <si>
    <t>CHAPEAU DE VENTILATION METALLIQUE - ANJOS - CTM - Ø 315 MM - TUILE</t>
  </si>
  <si>
    <t>1CHAPCTM016</t>
  </si>
  <si>
    <t>MCBE025</t>
  </si>
  <si>
    <t>SECURITE &amp; PROTECTION</t>
  </si>
  <si>
    <t>bâche</t>
  </si>
  <si>
    <t xml:space="preserve">Bâche 6x10Ml </t>
  </si>
  <si>
    <t xml:space="preserve">BACHE - 6 X 10 ML - 250 GR/M² </t>
  </si>
  <si>
    <t>3BACHE038</t>
  </si>
  <si>
    <t>MCBE026</t>
  </si>
  <si>
    <t xml:space="preserve">Bâche 8x12Ml </t>
  </si>
  <si>
    <t xml:space="preserve">BACHE - 8 X 12 ML - 250 GR/M² </t>
  </si>
  <si>
    <t>3BACHE046</t>
  </si>
  <si>
    <t>MCBE030</t>
  </si>
  <si>
    <t>ecran sous-toiture</t>
  </si>
  <si>
    <t>Ecran de sous-toiture HPV R2 75 m²</t>
  </si>
  <si>
    <t>ECRAN SOUS TOITURE HPV R2 - SALOLA AEROMAX PREMIUM / 101001-1.5 X 50 ML-75M2 (30 RXL/PAL)</t>
  </si>
  <si>
    <t>1SOUTAERO007</t>
  </si>
  <si>
    <t>Rouleau</t>
  </si>
  <si>
    <t>MCBE070</t>
  </si>
  <si>
    <t>Bande de rive zinc</t>
  </si>
  <si>
    <t xml:space="preserve">Bande de rive gauche/droite zinc anthra 0,65*250*2000      </t>
  </si>
  <si>
    <t>BANDE D'ASTRAGALE - ZINC ANTHRA - DEV.250 MM - BOUDIN 14 - LG.2 ML - EP.0,65 MM</t>
  </si>
  <si>
    <t>1BANASZFA250201</t>
  </si>
  <si>
    <t>ML</t>
  </si>
  <si>
    <t>MCBE071</t>
  </si>
  <si>
    <t>bande de rive zinc</t>
  </si>
  <si>
    <t>Bande de rive gauche/droite zinc naturel 0.65*166*2000</t>
  </si>
  <si>
    <t>BANDE D'ASTRAGALE - ZINC NATUREL - DEV.166 MM - BOUDIN 14 - LG.2 ML - EP.0,65 MM</t>
  </si>
  <si>
    <t>1BANASZNA166201</t>
  </si>
  <si>
    <t>MCBE072</t>
  </si>
  <si>
    <t>Bande de rive gauche/droite zinc quartz 0,65*166*2000</t>
  </si>
  <si>
    <t>BANDE D'ASTRAGALE - ZINC QUARTZ - DEV.166 MM - BOUDIN 14 - LG.2 ML - EP.0,65 MM</t>
  </si>
  <si>
    <t>1BANASZCQ166201</t>
  </si>
  <si>
    <t>MCBE073</t>
  </si>
  <si>
    <t>Bande de rive gauche/droite zinc quartz 0,65*250*2000</t>
  </si>
  <si>
    <t>BANDE D'ASTRAGALE - ZINC SLATE - DEV. 250 MM - BOUDIN 14 - LG.2 ML - EP.0,65 MM</t>
  </si>
  <si>
    <t>1BANASZCS250201</t>
  </si>
  <si>
    <t>MCBE074</t>
  </si>
  <si>
    <t>bande d'égout zinc</t>
  </si>
  <si>
    <t>bande d'egout  zinc anthra  190 mm - ep. 0,65 mm 2 ml</t>
  </si>
  <si>
    <t>BANDE D'EGOUT - ZINC ANTHRA - DEV. 190 MM - EP. 0,65 MM - 2 ML</t>
  </si>
  <si>
    <t>1BANEGZFA190201</t>
  </si>
  <si>
    <t>MCBE079</t>
  </si>
  <si>
    <t>couvre joint zinc  naturel  ep 0.65  120 x 2000</t>
  </si>
  <si>
    <t>COUVRE-JOINT - ZINC NATUREL - DEV 120 MM EP 0,65 MM - LG 2 ML</t>
  </si>
  <si>
    <t>1COJOIZNA212001</t>
  </si>
  <si>
    <t>MCBE080</t>
  </si>
  <si>
    <t>couvre joint zinc naturel 0.65 100 x 2000</t>
  </si>
  <si>
    <t>COUVRE-JOINT - ZINC NATUREL - DEV 100 MM EP 0,65 MM - LG 2 ML</t>
  </si>
  <si>
    <t>1COJOIZNA210001</t>
  </si>
  <si>
    <t>MCBE083</t>
  </si>
  <si>
    <t>décapant</t>
  </si>
  <si>
    <t>Décapant pour Zinc Usagé 0,34 L</t>
  </si>
  <si>
    <t>DECAPANT SOUDURE METAUX OXYDES EXPRESS -  SUPER DECAP EXPRESS - 845</t>
  </si>
  <si>
    <t>3DECAMET013</t>
  </si>
  <si>
    <t>MCBE084</t>
  </si>
  <si>
    <t>Décapant Prépatine Zinc 250ml</t>
  </si>
  <si>
    <t>DECAPANT SOUDURE ZINC PREPATINE VMZ - DECA VM - ZINC QUARTZ &amp; ANTHRA - FLACON DE 250ML</t>
  </si>
  <si>
    <t>3DECAZIP003</t>
  </si>
  <si>
    <t>MCBE087</t>
  </si>
  <si>
    <t>Fongicide</t>
  </si>
  <si>
    <t>Fongicide DALEP 2100 5L</t>
  </si>
  <si>
    <t>FONGICIDE ET HYDROFUGE CONCENTRE DALEP - DALEP 2100 - BIDON DE 5L - 1.01.0002.03</t>
  </si>
  <si>
    <t>3TRAIFON010</t>
  </si>
  <si>
    <t>MCBE120</t>
  </si>
  <si>
    <t>ETANCHEITE</t>
  </si>
  <si>
    <t>EIF</t>
  </si>
  <si>
    <t>siplast</t>
  </si>
  <si>
    <t>SIPLAST PRIMER 25 L</t>
  </si>
  <si>
    <t>ETANCHEITE BITUME SIPLAST ENDUIT IMPREGNATION A FROID PRIMER - BIDON DE 25L - REF. 101343</t>
  </si>
  <si>
    <t>1SIPLPRIM001</t>
  </si>
  <si>
    <t>MCBE121</t>
  </si>
  <si>
    <t>RELEVES</t>
  </si>
  <si>
    <t>SUPRACOATING RLV 15KG</t>
  </si>
  <si>
    <t>ETANCHEITE BITUME SIPLAST SUPRACOATING RLV - BIDON DE 15KG</t>
  </si>
  <si>
    <t>1SIPLSUP002</t>
  </si>
  <si>
    <t>MCBE122</t>
  </si>
  <si>
    <t>SUPRACOATING RLV 6KG</t>
  </si>
  <si>
    <t>ETANCHEITE BITUME SIPLAST SUPRACOATING RLV - BIDON DE 6KG</t>
  </si>
  <si>
    <t>1SIPLSUP004</t>
  </si>
  <si>
    <t>KG</t>
  </si>
  <si>
    <t>MCBE128</t>
  </si>
  <si>
    <t>Boite à eau PVC</t>
  </si>
  <si>
    <t>MEP</t>
  </si>
  <si>
    <t>BXC810B</t>
  </si>
  <si>
    <t>boîte à eau PVC  80x100mm hauteur 100 d80 MEP blanc</t>
  </si>
  <si>
    <t>BOITE A EAU CARRE - PVC - BLANC - D 80/100 - MEP - BXC810B</t>
  </si>
  <si>
    <t>1BOITEPVCBL8002</t>
  </si>
  <si>
    <t>A LA DEMANDE</t>
  </si>
  <si>
    <t>MCBE129</t>
  </si>
  <si>
    <t>BXC810G</t>
  </si>
  <si>
    <t>boîte à eau PVC  80x 100mm hauteur 100 d80 MEP gris</t>
  </si>
  <si>
    <t>MCBE130</t>
  </si>
  <si>
    <t>Boite à eau zinc</t>
  </si>
  <si>
    <t>boite à eau zinc 200x200 hauteur 200 d100</t>
  </si>
  <si>
    <t>BOITE A EAU - ZINC NATUREL - D 100 - 200 X 200 X 200 MM - AVEC GRILLE</t>
  </si>
  <si>
    <t>1BOITEZNA100S01</t>
  </si>
  <si>
    <t>MCBE131</t>
  </si>
  <si>
    <t>boite à eau zinc 200x200 hauteur 200 d80</t>
  </si>
  <si>
    <t>BOITE A EAU - ZINC NATUREL - D 80 - 200 X 200 X 200 MM - AVEC GRILLE</t>
  </si>
  <si>
    <t>1BOITEZNA8007</t>
  </si>
  <si>
    <t>MCBE146</t>
  </si>
  <si>
    <t>collier</t>
  </si>
  <si>
    <t>collier nerv. diam. 100 embase 7 anthra</t>
  </si>
  <si>
    <t>COLLIER NERVURE - ZINC ANTHRACITE / GRAPHITE - D 100 - 7 X 150</t>
  </si>
  <si>
    <t>1COLNEZFA10001</t>
  </si>
  <si>
    <t>MCBE148</t>
  </si>
  <si>
    <t>collier galva</t>
  </si>
  <si>
    <t>collier nerv. diam. 120 embase 7 pregalva</t>
  </si>
  <si>
    <t>COLLIER NERVURE - ACIER GALVANISE - D 120 - 7 X 150</t>
  </si>
  <si>
    <t>1COLNEACG12001</t>
  </si>
  <si>
    <t>MCBE151</t>
  </si>
  <si>
    <t>collier nerv. diam. 80 embase 7 pregalva</t>
  </si>
  <si>
    <t>COLLIER NERVURE - ACIER GALVANISE - D 80 - 7 X 150 - FM</t>
  </si>
  <si>
    <t>1COLNEACG8002</t>
  </si>
  <si>
    <t>MCBE152</t>
  </si>
  <si>
    <t>collier nerv. diam.100 embase 7 pregalva</t>
  </si>
  <si>
    <t>COLLIER NERVURE - ACIER GALVANISE - D 100 - 7 X 150 - FM</t>
  </si>
  <si>
    <t>1COLNEACG10002</t>
  </si>
  <si>
    <t>MCBE154</t>
  </si>
  <si>
    <t>collier zinc</t>
  </si>
  <si>
    <t xml:space="preserve">collier nervuré - zinc quartz d 100 </t>
  </si>
  <si>
    <t>COLLIER NERVURE - ZINC QUARTZ/SLATE - D 100 - 7 X 150</t>
  </si>
  <si>
    <t>1COLNEZCQ10001</t>
  </si>
  <si>
    <t>MCBE159</t>
  </si>
  <si>
    <t>coude cintre 72° diam. 100 zinc naturel</t>
  </si>
  <si>
    <t>COUDE CINTRE - ZINC NATUREL - D 100 - 72° - PETIT RAYON</t>
  </si>
  <si>
    <t>1COUCIZNA10006</t>
  </si>
  <si>
    <t>MCBE160</t>
  </si>
  <si>
    <t xml:space="preserve">Coude cintre 72° diam. 100 Zinc quartz </t>
  </si>
  <si>
    <t>COUDE CINTRE - ZINC SLATE - D 100 - 72° - GRAND RAYON</t>
  </si>
  <si>
    <t>1COUCIZCS10001</t>
  </si>
  <si>
    <t>MCBE170</t>
  </si>
  <si>
    <t>crapaudine exterieur galva droite 110/130</t>
  </si>
  <si>
    <t>CRAPAUDINE - ACIER GALVANISE - N°3 - D 110 / 130</t>
  </si>
  <si>
    <t>1CRAPAACG11001</t>
  </si>
  <si>
    <t>MCBE171</t>
  </si>
  <si>
    <t>crapaudine exterieur galva droite 140/170</t>
  </si>
  <si>
    <t>CRAPAUDINE - ACIER GALVANISE - N°4 - D 140 / 160</t>
  </si>
  <si>
    <t>1CRAPAACG14001</t>
  </si>
  <si>
    <t>MCBE173</t>
  </si>
  <si>
    <t>crochet MEP</t>
  </si>
  <si>
    <t>25CBS</t>
  </si>
  <si>
    <t>crochet gouttière  m.e.p  gd25 sable</t>
  </si>
  <si>
    <t>CROCHET BANDEAU - PVC - SABLE - DEV.25 - MEP - 25CBS</t>
  </si>
  <si>
    <t>1CROBAPVCSA2501</t>
  </si>
  <si>
    <t>MCBE174</t>
  </si>
  <si>
    <t>25CBB</t>
  </si>
  <si>
    <t>crochet gouttière m.e.p gd25 blanc</t>
  </si>
  <si>
    <t>CROCHET BANDEAU - PVC - BLANC - DEV.25 - MEP - 25CBB</t>
  </si>
  <si>
    <t>1CROBAPVCBL2501</t>
  </si>
  <si>
    <t>MCBE175</t>
  </si>
  <si>
    <t>25CBG</t>
  </si>
  <si>
    <t>crochet gouttière m.e.p gd25 gris</t>
  </si>
  <si>
    <t>CROCHET BANDEAU - PVC - GRIS - DEV.25 - MEP - 25CBG</t>
  </si>
  <si>
    <t>1CROBAPVCGR2501</t>
  </si>
  <si>
    <t>MCBE176</t>
  </si>
  <si>
    <t>33CBG</t>
  </si>
  <si>
    <t>crochet gouttière m.e.p gd33 gris</t>
  </si>
  <si>
    <t>CROCHET BANDEAU - PVC - GRIS - DEV.33 - MEP - 33CBG</t>
  </si>
  <si>
    <t>1CROBAPVCGR3301</t>
  </si>
  <si>
    <t>MCBE177</t>
  </si>
  <si>
    <t>Crochet MEP</t>
  </si>
  <si>
    <t>33CBS</t>
  </si>
  <si>
    <t>crochet gouttière m.e.p gd33 sable</t>
  </si>
  <si>
    <t>CROCHET BANDEAU - PVC - SABLE - DEV.33 - MEP - 33CBS</t>
  </si>
  <si>
    <t>1CROBAPVCSA3301</t>
  </si>
  <si>
    <t>MCBE178</t>
  </si>
  <si>
    <t>crochet bandeau</t>
  </si>
  <si>
    <t>33CBB</t>
  </si>
  <si>
    <t>crochet gouttière m.e.p d33 blanc</t>
  </si>
  <si>
    <t>CROCHET BANDEAU - PVC - BLANC - DEV.33 - MEP - 33CBB</t>
  </si>
  <si>
    <t>1CROBAPVCBL3301</t>
  </si>
  <si>
    <t>MCBE185</t>
  </si>
  <si>
    <t>Crochet</t>
  </si>
  <si>
    <t>crochet embouti 25 boudin de 14  pregalva (cbi25-n)</t>
  </si>
  <si>
    <t>CROCHET EMBOUTI - ACIER GALVANISE - DEV.25 - B14 - DOS PLAT - MODELE V - FM</t>
  </si>
  <si>
    <t>1CROEMACG2502</t>
  </si>
  <si>
    <t>MCBE186</t>
  </si>
  <si>
    <t xml:space="preserve">crochet </t>
  </si>
  <si>
    <t>crochet embouti 25 boudin de 14 t. ardoise (cbi25-na)</t>
  </si>
  <si>
    <t>CROCHET EMBOUTI - ZINC ANTHRACITE/GRAPHITE - DEV.25 - B14 - MODELE V - FM</t>
  </si>
  <si>
    <t>1CROEMACA2501</t>
  </si>
  <si>
    <t>MCBE187</t>
  </si>
  <si>
    <t>crochet</t>
  </si>
  <si>
    <t>crochet embouti 33 boudin de 14  pregalva (cbi33-n)</t>
  </si>
  <si>
    <t>CROCHET EMBOUTI - ACIER GALVANISE - DEV.33 - B14 - PAILLETTE RAPPORTEE - MODELE V - FM</t>
  </si>
  <si>
    <t>1CROEMACG3314</t>
  </si>
  <si>
    <t>MCBE188</t>
  </si>
  <si>
    <t>crochet embouti 33 boudin de 14  quartz (carton 100pcs) (pc)</t>
  </si>
  <si>
    <t>CROCHET EMBOUTI - ZINC QUARTZ/SLATE - DEV.33 - B14 - MODELE V - FM</t>
  </si>
  <si>
    <t>1CROEMACQ3309</t>
  </si>
  <si>
    <t>MCBE194</t>
  </si>
  <si>
    <t>cuvette zinc</t>
  </si>
  <si>
    <t>cuvette branchement diam. 100 zinc naturel</t>
  </si>
  <si>
    <t>CUVETTE DE BRANCHEMENT - ZINC NATUREL - D 100</t>
  </si>
  <si>
    <t>1CUVBRZNA10001</t>
  </si>
  <si>
    <t>MCBE197</t>
  </si>
  <si>
    <t>dauphin fonte</t>
  </si>
  <si>
    <t>Dauphin fonte d80 1ml  Blanc</t>
  </si>
  <si>
    <t>DAUPHIN DROIT - FONTE JAUNE - D 80 - LG.1ML</t>
  </si>
  <si>
    <t>1DAUDRFO80103</t>
  </si>
  <si>
    <t>MCBE198</t>
  </si>
  <si>
    <t>dauphin fonte d100 1ml blanc</t>
  </si>
  <si>
    <t>DAUPHIN DROIT - FONTE JAUNE - D 100 - LG.1ML</t>
  </si>
  <si>
    <t>1DAUDRFO100106</t>
  </si>
  <si>
    <t>MCBE199</t>
  </si>
  <si>
    <t>descente EP pvc</t>
  </si>
  <si>
    <t>1044G</t>
  </si>
  <si>
    <t xml:space="preserve">descente GD33 ep 100 x 1.8 mm 4 ml pvc gris </t>
  </si>
  <si>
    <t>TUYAU DE DESCENTE ROND - PVC - GRIS - D 100 - 4ML - MANCHONNE - MEP - 1044G</t>
  </si>
  <si>
    <t>1TUYROPVCGR100401</t>
  </si>
  <si>
    <t>MCBE201</t>
  </si>
  <si>
    <t>1044S</t>
  </si>
  <si>
    <t xml:space="preserve">descente GD33  ep 100 x 1.8 mm 4ml pvc sable   </t>
  </si>
  <si>
    <t>TUYAU DE DESCENTE ROND - PVC - SABLE - D 100 - 4ML - MANCHONNE - MEP - 1044S</t>
  </si>
  <si>
    <t>1TUYROPVCSA100401</t>
  </si>
  <si>
    <t>MCBE203</t>
  </si>
  <si>
    <t>854G</t>
  </si>
  <si>
    <t>descente GD25 ep 80 x 1.5 mm 4ml pvc gris</t>
  </si>
  <si>
    <t>TUYAU DE DESCENTE ROND - PVC - GRIS - D 80 - 4ML - MANCHONNE - MEP - 854G</t>
  </si>
  <si>
    <t>1TUYROPVCGR80401</t>
  </si>
  <si>
    <t>MCBE204</t>
  </si>
  <si>
    <t>854N</t>
  </si>
  <si>
    <t>descente GD25 ep 80 x 1.5 mm 4ml pvc noir</t>
  </si>
  <si>
    <t>TUYAU DE DESCENTE ROND - PVC - NOIR - D 80 - 4ML - MANCHONNE - MEP - 854N</t>
  </si>
  <si>
    <t>1TUYROPVCNO80401</t>
  </si>
  <si>
    <t>MCBE206</t>
  </si>
  <si>
    <t>Descente fonte</t>
  </si>
  <si>
    <t>Descente fonte dia 100 lg 2ml creme</t>
  </si>
  <si>
    <t>DAUPHIN DROIT - FONTE JAUNE - D 100 - LG.2ML</t>
  </si>
  <si>
    <t>1DAUDRFO100202</t>
  </si>
  <si>
    <t>MCBE244</t>
  </si>
  <si>
    <t>Gouttière zinc</t>
  </si>
  <si>
    <t xml:space="preserve">Gouttière 1/2 ronde  quartz zinc d33 </t>
  </si>
  <si>
    <t>GOUTTIERE DEMI RONDE - ZINC SLATE - DEV.33 - B14 - LG.4ML - EP.0,65 - SP</t>
  </si>
  <si>
    <t>1GOUDRZCS33401</t>
  </si>
  <si>
    <t>MCBE246</t>
  </si>
  <si>
    <t>gouttiere pvc</t>
  </si>
  <si>
    <t>254B</t>
  </si>
  <si>
    <t>gouttière 1/2 ronde d25  pvc blanc</t>
  </si>
  <si>
    <t>GOUTTIERE DEMI RONDE - PVC - BLANC - DEV.25 - LG.4ML - MEP - 254B</t>
  </si>
  <si>
    <t>1GOUDRPVCBL25401</t>
  </si>
  <si>
    <t>MCBE247</t>
  </si>
  <si>
    <t>254G</t>
  </si>
  <si>
    <t>gouttière 1/2 ronde d25  pvc gris</t>
  </si>
  <si>
    <t>GOUTTIERE DEMI RONDE - PVC - GRIS - DEV.25 - LG.4ML - MEP - 254G</t>
  </si>
  <si>
    <t>1GOUDRPVCGR25401</t>
  </si>
  <si>
    <t>MCBE249</t>
  </si>
  <si>
    <t>254S</t>
  </si>
  <si>
    <t>gouttière 1/2 ronde d25  pvc sable</t>
  </si>
  <si>
    <t>GOUTTIERE DEMI RONDE - PVC - SABLE - DEV.25 - LG.4ML - MEP - 254S</t>
  </si>
  <si>
    <t>1GOUDRPVCSA25401</t>
  </si>
  <si>
    <t>MCBE251</t>
  </si>
  <si>
    <t>334G</t>
  </si>
  <si>
    <t xml:space="preserve">gouttière 1/2 ronde d33  pvc gris </t>
  </si>
  <si>
    <t>GOUTTIERE DEMI RONDE - PVC - GRIS - DEV.33 - LG.4ML - MEP - 334G</t>
  </si>
  <si>
    <t>1GOUDRPVCGR33401</t>
  </si>
  <si>
    <t>MCBE252</t>
  </si>
  <si>
    <t>gouttiere zinc</t>
  </si>
  <si>
    <t>gouttière 1/2 ronde d33 zinc naturel</t>
  </si>
  <si>
    <t>GOUTTIERE DEMI RONDE - ZINC NATUREL - DEV.33 - B14 - LG.4ML - EP.0,65 - SP</t>
  </si>
  <si>
    <t>1GOUDRZNA33401</t>
  </si>
  <si>
    <t>MCBE253</t>
  </si>
  <si>
    <t>Jonction PVC</t>
  </si>
  <si>
    <t>33JCS</t>
  </si>
  <si>
    <t>Jonction PVC à coller gd33- sable</t>
  </si>
  <si>
    <t>JONCTION A COLLER - PVC - SABLE - DEV.33 - MEP - 33JCS</t>
  </si>
  <si>
    <t>1JONACPVCSA3301</t>
  </si>
  <si>
    <t>MCBE257</t>
  </si>
  <si>
    <t>naissance centrale pvc</t>
  </si>
  <si>
    <t>25NCCB</t>
  </si>
  <si>
    <t>Naissance centrale à coller GD25 PVC blanc</t>
  </si>
  <si>
    <t>NAISSANCE CENTRALE - PVC - BLANC - DEV.25 - A COLLER - MEP - 25NCCB</t>
  </si>
  <si>
    <t>1NAICEPVCBL2501</t>
  </si>
  <si>
    <t>MCBE259</t>
  </si>
  <si>
    <t>33NCCG</t>
  </si>
  <si>
    <t>Naissance centrale à coller GD33 PVC gris</t>
  </si>
  <si>
    <t>NAISSANCE CENTRALE - PVC - GRIS - DEV.33 - A COLLER - MEP - 33NCCG</t>
  </si>
  <si>
    <t>1NAICEPVCGR3301</t>
  </si>
  <si>
    <t>MCBE260</t>
  </si>
  <si>
    <t>pare gravier galva</t>
  </si>
  <si>
    <t>pare gravier galva 200x200</t>
  </si>
  <si>
    <t>PARE GRAVIERS - ACIER GALVANISE - 200 X 200</t>
  </si>
  <si>
    <t>1PARGAACG20001</t>
  </si>
  <si>
    <t>MCBE281</t>
  </si>
  <si>
    <t>Tuyau zinc cylindrique</t>
  </si>
  <si>
    <t>tuyau cylindrique soudeé zinc anthra d100 zinc anthra ep 0,65 -2ml</t>
  </si>
  <si>
    <t>TUYAU DE DESCENTE SOUDE TIG - ZINC GRAPHITE - D 100 - LG.2ML - EP.0,65</t>
  </si>
  <si>
    <t>1TUYSTZFG100204</t>
  </si>
  <si>
    <t>MCBE282</t>
  </si>
  <si>
    <t>Tuyau cylindrique zinc anthra d80 ep 0.65 - 2ml</t>
  </si>
  <si>
    <t>TUYAU DE DESCENTE SOUDE TIG - ZINC GRAPHITE - D 80 - LG.2ML - EP.0,65</t>
  </si>
  <si>
    <t>1TUYSTZFG80203</t>
  </si>
  <si>
    <t>MCBE289</t>
  </si>
  <si>
    <t>Tuyau tronconique zinc</t>
  </si>
  <si>
    <t>tuyau tronconique soudé zinc nat d100mm ep. 0,65 - 2ml</t>
  </si>
  <si>
    <t>TUYAU DE DESCENTE SOUDE ETAIN - ZINC NATUREL HILDEM - D 100 - LG.2ML - EP.0,65</t>
  </si>
  <si>
    <t>1TUYSOZNA100201</t>
  </si>
  <si>
    <t>MCBE290</t>
  </si>
  <si>
    <t>tuyau tronconique soudé zinc nat d120mm ep. 0,7 - 2ml</t>
  </si>
  <si>
    <t>TUYAU DE DESCENTE SOUDE TIG - ZINC NATUREL - D 120 - LG.2ML - EP.0,70</t>
  </si>
  <si>
    <t>1TUYSTZNA120202</t>
  </si>
  <si>
    <t>MCBE294</t>
  </si>
  <si>
    <t>tuyau tronconique soudé zinc nat d80mm ep. 0,65 - 2ml</t>
  </si>
  <si>
    <t>TUYAU DE DESCENTE SOUDE ETAIN - ZINC NATUREL HILDEM - D 80 - LG.2ML - EP.0,65</t>
  </si>
  <si>
    <t>1TUYSOZNA80201</t>
  </si>
  <si>
    <t>MCBE298</t>
  </si>
  <si>
    <t>Godet en titane</t>
  </si>
  <si>
    <t xml:space="preserve">Godet en titane Ø60 mm – puissance 100 kW </t>
  </si>
  <si>
    <t>BRULEUR EXPRESS - GODET INOX - D 60MM - 100KW - 100S</t>
  </si>
  <si>
    <t>3SOUDACC118</t>
  </si>
  <si>
    <t>MCBE307</t>
  </si>
  <si>
    <t xml:space="preserve">Panne </t>
  </si>
  <si>
    <t>Panne turbo pour fers 364/367/369</t>
  </si>
  <si>
    <t>PANNE POUR FER A SOUDER EXPRESS - LONG TURBO - CUIVRE - LANCE 4679 &amp; FER 364 &amp; 367/9 -1779</t>
  </si>
  <si>
    <t>3SOUDACC017</t>
  </si>
  <si>
    <t>MCBE309</t>
  </si>
  <si>
    <t>Crayon</t>
  </si>
  <si>
    <t>Crayon spécial marquage métal</t>
  </si>
  <si>
    <t>CRAYON UNIVERSEL STUBAI - 240MM - 444106</t>
  </si>
  <si>
    <t>3OUTCRAY012</t>
  </si>
  <si>
    <t>MCBE310</t>
  </si>
  <si>
    <t>agrafes</t>
  </si>
  <si>
    <t>Boite de 5000 agrafes 10mm</t>
  </si>
  <si>
    <t>AGRAFE FREUND - 11MM - BOITE DE 5000 - 01741011</t>
  </si>
  <si>
    <t>3FIXPOI0689</t>
  </si>
  <si>
    <t>MCBE311</t>
  </si>
  <si>
    <t>Couteau</t>
  </si>
  <si>
    <t>Couteau rétractable 1 lame trapézoidale</t>
  </si>
  <si>
    <t>COUTEAU REPLIABLE JOUANEL - POUR LAMES TRAPEZES ET A CROCHET - COUT-R</t>
  </si>
  <si>
    <t>3OUTCOUP002</t>
  </si>
  <si>
    <t>MCBE318</t>
  </si>
  <si>
    <t>Targette</t>
  </si>
  <si>
    <t>Targette soudure 33%</t>
  </si>
  <si>
    <t>TARGETTE ETAIN DE SOUDURE - 33% -  0,800 KG / TARGETTE</t>
  </si>
  <si>
    <t>3SOUDETA005</t>
  </si>
  <si>
    <t>MCBE319</t>
  </si>
  <si>
    <t>Ruban adhésif</t>
  </si>
  <si>
    <t>Adhésif isolant ISO 2000</t>
  </si>
  <si>
    <t>ADHESIF ISOLANT ISO 2000 - ISODHESIF - NOIR - 100MM X 25ML</t>
  </si>
  <si>
    <t>1ITRADHE003</t>
  </si>
  <si>
    <t>MCBE320</t>
  </si>
  <si>
    <t>Chalumeau</t>
  </si>
  <si>
    <t>chalumeau titane express</t>
  </si>
  <si>
    <t>CHALUMEAU D'ETANCHEITE EXPRESS - TITAN'EXPRESS - TUYAU 20ML - PACK COMPLET - 6221</t>
  </si>
  <si>
    <t>3SOUDCHA005</t>
  </si>
  <si>
    <t>MCBE328</t>
  </si>
  <si>
    <t>Raccord prétransvasement</t>
  </si>
  <si>
    <t>Raccord de transvasement pour gaz ou liquide</t>
  </si>
  <si>
    <t>RACCORD DE TRANSVASEMENT SOUPLE EXPRESS - 7795S</t>
  </si>
  <si>
    <t>3SOUDACC147</t>
  </si>
  <si>
    <t>MCBE340</t>
  </si>
  <si>
    <t>Panne</t>
  </si>
  <si>
    <t xml:space="preserve">Panne  turbo pour fers  678/236 G 35x3,5 </t>
  </si>
  <si>
    <t>PANNE POUR FER A SOUDER EXPRESS - CUIVRE - FER DE COUVREUR - 678</t>
  </si>
  <si>
    <t>3SOUDACC029</t>
  </si>
  <si>
    <t>MCBE341</t>
  </si>
  <si>
    <t>Panne turbo pour fers  679/315 G 45x5</t>
  </si>
  <si>
    <t>PANNE POUR FER A SOUDER EXPRESS - CUIVRE - FER DE COUVREUR - 679</t>
  </si>
  <si>
    <t>3SOUDACC030</t>
  </si>
  <si>
    <t>MCBE344</t>
  </si>
  <si>
    <t>Etui</t>
  </si>
  <si>
    <t xml:space="preserve">Etui de 5 Pierres de rechange ref frs 5498 </t>
  </si>
  <si>
    <t>PIERRE DE RECHANGE EXPRESS - POUR ALLUMEUR - LOT DE 5 - 5498</t>
  </si>
  <si>
    <t>3SOUDACCC002</t>
  </si>
  <si>
    <t>MCBE366</t>
  </si>
  <si>
    <t>PROFILES</t>
  </si>
  <si>
    <t>profilés</t>
  </si>
  <si>
    <t>bande de solin 70 avec joint</t>
  </si>
  <si>
    <t>SOLIN ALUFORM H 70 AVEC JOINT EPDM LG. 3ML - 35SOLAC70</t>
  </si>
  <si>
    <t>1SOLINALN7004</t>
  </si>
  <si>
    <t>MCBE367</t>
  </si>
  <si>
    <t>jonction</t>
  </si>
  <si>
    <t>jonction 70</t>
  </si>
  <si>
    <t>JONCTION SOLIN ALUFORM H 70 - 35SOLEC</t>
  </si>
  <si>
    <t>1JONSOALN7001</t>
  </si>
  <si>
    <t>MCBE368</t>
  </si>
  <si>
    <t>angle rentrant</t>
  </si>
  <si>
    <t>Angle rentrant 70</t>
  </si>
  <si>
    <t>ANGLE INTERIEUR SOLIN ALUFORM H 70 - 35SOLANI</t>
  </si>
  <si>
    <t>1ANGEIALN7001</t>
  </si>
  <si>
    <t>MCBE369</t>
  </si>
  <si>
    <t>angle sortant</t>
  </si>
  <si>
    <t>Angle sortant 70</t>
  </si>
  <si>
    <t>ANGLE EXTERIEUR SOLIN ALUFORM H 70 - 35SOLANE</t>
  </si>
  <si>
    <t>1ANGESALN7001</t>
  </si>
  <si>
    <t>MCBE501</t>
  </si>
  <si>
    <t>ZINC</t>
  </si>
  <si>
    <t>bande ourlet zinc</t>
  </si>
  <si>
    <t>Bande ourlet zinc naturel 250 x2000 ep. 0,65 mm</t>
  </si>
  <si>
    <t>BANDE DE DOUBLIS OU A OURLET - ZINC NATUREL - DEV.250 MM - LG.2 ML - EP.0,65 MM - B14</t>
  </si>
  <si>
    <t>1BANDDZNA250201</t>
  </si>
  <si>
    <t>ADEPAR JS 7M</t>
  </si>
  <si>
    <t>ETANCHEITE BITUMINEUSE SIPLAST ADHESIVE ADEPAR JS 7 X 1M - REF. 10035363(102429)</t>
  </si>
  <si>
    <t>1SIPLADE003</t>
  </si>
  <si>
    <t>COLLE PUR GLUE 12 KG</t>
  </si>
  <si>
    <t>ETANCHEITE PVC - SIPLAST MONARPLAN - COLLE POUR GLUE 12 KGS - 101339</t>
  </si>
  <si>
    <t>1SIPLMON033</t>
  </si>
  <si>
    <t>PARABASE 7,5M</t>
  </si>
  <si>
    <t>ETANCHEITE BITUME SIPLAST PARE VAPEUR PARABASE 7,5X1M</t>
  </si>
  <si>
    <t>1SIPLPAR023</t>
  </si>
  <si>
    <t>PARADIAL S 6 M</t>
  </si>
  <si>
    <t>ETANCHEITE BITUME SIPLAST PARADIAL S 6M -102073</t>
  </si>
  <si>
    <t>1SIPLPAR022</t>
  </si>
  <si>
    <t>PARADIENE 30.1 GS ANTHRACITE 6M</t>
  </si>
  <si>
    <t>ETANCHEITE BITUME SIPLAST - PARADIENE 30.1 GS - ANTHRA - 6 M² - 10219</t>
  </si>
  <si>
    <t>1SIPLPAR015</t>
  </si>
  <si>
    <t>PARADIENE BDS 7.5 M</t>
  </si>
  <si>
    <t>ETANCHEITE BITUME SIPLAST PARADIENE BDS - 7,5X1.0ML - 102074</t>
  </si>
  <si>
    <t>1SIPLPAR018</t>
  </si>
  <si>
    <t>PARADIENE JS R4 7.5M</t>
  </si>
  <si>
    <t>ETANCHEITE BITUME SIPLAST PARADIENE JS R4 7.5M - 10035590 (102420)</t>
  </si>
  <si>
    <t>1SIPLPAR043</t>
  </si>
  <si>
    <t>ETANCHEITE BITUME SIPLAST PARAFOR SOLO GS - ANTHRA - 7.0X1.0ML - 10161S</t>
  </si>
  <si>
    <t>1SIPLPAR031</t>
  </si>
  <si>
    <t>PAREQUERRE EN 250 MM</t>
  </si>
  <si>
    <t>ETANCHEITE BITUME SIPLAST PAREQUERRE 250 MM - LG 10 ML - 04088R</t>
  </si>
  <si>
    <t>1SIPLPAR024</t>
  </si>
  <si>
    <t>PAREQUERRE EN 333 MM</t>
  </si>
  <si>
    <t>ETANCHEITE BITUME SIPLAST PAREQUERRE 333 MM - LG 10 ML - 09777C</t>
  </si>
  <si>
    <t>1SIPLPAR039</t>
  </si>
  <si>
    <t>SUPRADIAL GS ANTHRACITE 5 M</t>
  </si>
  <si>
    <t>ETANCHEITE BITUME SIPLAST SUPRADIAL GS 5X1M ANTHRACITE</t>
  </si>
  <si>
    <t>1SIPLSUP003</t>
  </si>
  <si>
    <t>Référence fournisseur</t>
  </si>
  <si>
    <t>Tarif (€) hors EC*</t>
  </si>
  <si>
    <t>Unité de tarif</t>
  </si>
  <si>
    <t>à définir</t>
  </si>
  <si>
    <t>MEMBRANES</t>
  </si>
  <si>
    <t xml:space="preserve">Alkorplan gris clair 1x20 </t>
  </si>
  <si>
    <t>PC</t>
  </si>
  <si>
    <t>Alpal décor CPV noir 8x1 M</t>
  </si>
  <si>
    <t>Alphardoise CPV noir 5x1 M</t>
  </si>
  <si>
    <t>Alkorplan gris clair 2,1x15 ep 1,2mm</t>
  </si>
  <si>
    <t>Aluminium</t>
  </si>
  <si>
    <t>bobineau</t>
  </si>
  <si>
    <t>Bobine 500kg alu 0,7 L0,5M gris souris</t>
  </si>
  <si>
    <t>non renseigné</t>
  </si>
  <si>
    <t>AMENAGEMENT DES TERASSES</t>
  </si>
  <si>
    <t>big bag</t>
  </si>
  <si>
    <t>big bag 95*95*110 1m3 1,5t</t>
  </si>
  <si>
    <t>sac à gravats</t>
  </si>
  <si>
    <t>sac à gravats tissé 70L 55*95 blanc</t>
  </si>
  <si>
    <t>Tête de plot</t>
  </si>
  <si>
    <t>Tête de plot pour lambourde</t>
  </si>
  <si>
    <t>Dalle IPE</t>
  </si>
  <si>
    <t>Dalle IPE 500*500</t>
  </si>
  <si>
    <t>PENOSIL BUTYL TAPE 440 L300MM</t>
  </si>
  <si>
    <t>BANDE D'ÉTANCHÉITÉ IRONDEL - ROUGE BRIQUE / GRIS GRAPHITE</t>
  </si>
  <si>
    <t>PARAFOR SOLO GS GRIS ANTHRACITE RLX 7M²</t>
  </si>
  <si>
    <t>Mortier du couvreur Irondel - 25kg</t>
  </si>
  <si>
    <t>Mortier du couvreur Irondel - 35kg</t>
  </si>
  <si>
    <t>Mortier fin - Gris - 25kg</t>
  </si>
  <si>
    <t>Mortier mur 8/2 - 25kg</t>
  </si>
  <si>
    <t>Plaque ondulée</t>
  </si>
  <si>
    <t>Plaque ondulée FR Naturel 5 ondes 1m75 TN teinte naturelle</t>
  </si>
  <si>
    <t>DERBIGUM SP4 4MM 8M²</t>
  </si>
  <si>
    <t>ALKORPLAN D GRIS CLAIR 1,00 X 20 ML</t>
  </si>
  <si>
    <t>Panneau toiture</t>
  </si>
  <si>
    <t>Panneau toiture SDW 1000 LAQUE 25µ 8012 EP150MM R=7.25 4.90 M</t>
  </si>
  <si>
    <t>Panneau toiture SDW 1000 LAQUE 25µ EP100MM R=4.85 (M²)</t>
  </si>
  <si>
    <t>Panneau toiture  SDW 1000 LAQUE 25µ 8012 EP150MM R=7.25 5.00 M</t>
  </si>
  <si>
    <t>Panneau toiture SDW 1000 LAQUE 25µ EP60MM R=2.65 (M²)</t>
  </si>
  <si>
    <t>Panneau toiture  SDW 1000 LAQUE 25µ 7016 EP40MM R=1.75 4,60 M</t>
  </si>
  <si>
    <t>Panneau toiture SDW 1000 LAQUE 25µ 7016 EP40MM R=1.75 5,60 M</t>
  </si>
  <si>
    <t>COLLES</t>
  </si>
  <si>
    <t>Noquet zinc</t>
  </si>
  <si>
    <t>NOQUET - ZINC NATUREL - DEV. 300MM - 600x150x150</t>
  </si>
  <si>
    <t>Lambris alvéolaire</t>
  </si>
  <si>
    <t>lambris alveolaire type e 25cm x 4ml blanc</t>
  </si>
  <si>
    <t>SIPLAST PRIMER 10 L</t>
  </si>
  <si>
    <t>L</t>
  </si>
  <si>
    <t>MCBE0230</t>
  </si>
  <si>
    <t>BOIS</t>
  </si>
  <si>
    <t>CHEVRON</t>
  </si>
  <si>
    <t>chevron sapin 38x38 - au m</t>
  </si>
  <si>
    <t>M</t>
  </si>
  <si>
    <t>MCBE0231</t>
  </si>
  <si>
    <t>chevron sapin 38x58 - au m</t>
  </si>
  <si>
    <t>Dilatation</t>
  </si>
  <si>
    <t>JOINT DE DILATATION CHENEAU ROULEAU 390X6000</t>
  </si>
  <si>
    <t>MCBE0119</t>
  </si>
  <si>
    <t>MCBE0015</t>
  </si>
  <si>
    <t>evacuation eaux pluviale alu droite diamètre 75- hauteur 600</t>
  </si>
  <si>
    <t>Unité</t>
  </si>
  <si>
    <t>MCBE0021</t>
  </si>
  <si>
    <t>evacuation eaux pluviale alu droite diamètre 95- hauteur 600</t>
  </si>
  <si>
    <t>Couvre joint zinc naturel 0.65*120*2000</t>
  </si>
  <si>
    <t>Jonction PVC à coller 25cm - sable</t>
  </si>
  <si>
    <t>JONCTION RF/E 70*60 MM</t>
  </si>
  <si>
    <t>JONCTION RF/E 15*40 MM</t>
  </si>
  <si>
    <t>MCBE0232</t>
  </si>
  <si>
    <t>chevron sapin 40x60 - au m</t>
  </si>
  <si>
    <t>MCBE0233</t>
  </si>
  <si>
    <t>chevron sapin 60x80 - au m</t>
  </si>
  <si>
    <t>BASTAING</t>
  </si>
  <si>
    <t>bastaing sapin/epicea trcl2 63x175 3m - au m</t>
  </si>
  <si>
    <t>bastaing sapin/epicea trcl2 63x175 4m - au m</t>
  </si>
  <si>
    <t>bastaing sapin/epicea trcl2 63x175 5m - au m</t>
  </si>
  <si>
    <t>bastaing sapin/epicea trcl2 63x175 6m - au m</t>
  </si>
  <si>
    <t>coulisseau tête joint debout zinc</t>
  </si>
  <si>
    <t>COULISSEAU DE TETE JOINT DEBOUT ZINC NATUREL 0,65 X 60 X100</t>
  </si>
  <si>
    <t>COULISSEAU DE TETE JOINT DEBOUT ZINC QUARTZ 0,65 X 60 X 100</t>
  </si>
  <si>
    <t>chevron sapin/epicea trcl2 63x75 3m - au m</t>
  </si>
  <si>
    <t>Bande de rive zinc quartz 0,65*166*2000</t>
  </si>
  <si>
    <t>Bande de rive zinc quartz 0,65*250*2000</t>
  </si>
  <si>
    <t xml:space="preserve">Bande de rive zinc anthra 0,65*250*2000      </t>
  </si>
  <si>
    <t>Bande de rive zinc naturel 0.65*166*2000</t>
  </si>
  <si>
    <t>serpillère</t>
  </si>
  <si>
    <t xml:space="preserve">Serpillère 1000 x 500 mm </t>
  </si>
  <si>
    <t>IKO RLV 24,1KG</t>
  </si>
  <si>
    <t>IKO DUO STICK L3 T4 SI  – 7 ml</t>
  </si>
  <si>
    <t>PARE VAPEUR</t>
  </si>
  <si>
    <t>IKO RLV alu PLUS AR/F NOIR -5ml</t>
  </si>
  <si>
    <t>RESISTIT G SK PRIMER 5 L</t>
  </si>
  <si>
    <t>ALSAN FLASHING 15kg</t>
  </si>
  <si>
    <t>IKOPRO PRIMAIRE BITUME ADEROSOL SR SPRAY 0,5L</t>
  </si>
  <si>
    <t>IKOPRO PRIMAIRE BITUME ADEROSOL SR 5L</t>
  </si>
  <si>
    <t>DERBIMASTIC S CARTOUCHE 310 ML</t>
  </si>
  <si>
    <t>IKO ÉQUERRE 100 - 5Mx1,00M</t>
  </si>
  <si>
    <t>IKO ACCESS ROUGE - 8M</t>
  </si>
  <si>
    <t>BICOUCHES FIXES ACIER</t>
  </si>
  <si>
    <t>IKO DUO ACIER F/G - 7ML</t>
  </si>
  <si>
    <t>EFIBANDE BUTYLE - RLX 20 M X 75 MM</t>
  </si>
  <si>
    <t>RUBIOPRIMER SPRAY AEROSOL DE 600ML</t>
  </si>
  <si>
    <t xml:space="preserve">Bande d'égout zinc naturel 201 à 250mm ep 0,65 </t>
  </si>
  <si>
    <t>Bande d'égout zinc naturel ventile ep 0,65*2000</t>
  </si>
  <si>
    <t>Bande d'égout zinc quartz ventile ep 0,65*2000</t>
  </si>
  <si>
    <t>boîte à eau contemporaine 80-100mm hauteur 100 d80 MEP blanc</t>
  </si>
  <si>
    <t>boîte à eau contemporaine 80-100mm hauteur 100 d80 MEP gris</t>
  </si>
  <si>
    <t xml:space="preserve">Boîte à eau zinc 200x200 hauteur 200 d100 RAL7016 </t>
  </si>
  <si>
    <t>Boite à eau zinc nat  de 200 ep 0,65 160mm</t>
  </si>
  <si>
    <t>Boite à eau zinc nat  de 300 ep 0,65 140mm</t>
  </si>
  <si>
    <t>Boite à eau zinc nat  de 350 ep 0,65 100mm</t>
  </si>
  <si>
    <t>collier pvc</t>
  </si>
  <si>
    <t>Collier bride PVC dia 100 gris</t>
  </si>
  <si>
    <t>100PC</t>
  </si>
  <si>
    <t>Collier bride PVC dia 80 blanc</t>
  </si>
  <si>
    <t>Collier bride PVC dia 80 gris</t>
  </si>
  <si>
    <t>collier de fixation diam 100 avec patte a vis 7 x 150 a visser + cheville</t>
  </si>
  <si>
    <t>collier de fixation diam 80 avec patte a vis 7 x 150 a visser + cheville</t>
  </si>
  <si>
    <t>Coude MEP</t>
  </si>
  <si>
    <t>coude 100 mm 45° m/f m.e.p blanc</t>
  </si>
  <si>
    <t>coude 100 mm 87° m/f m.e.p blanc</t>
  </si>
  <si>
    <t>coude 80 mm 87° m/f m.e.p blanc</t>
  </si>
  <si>
    <t>coude cintre 90° diam. 100 zinc quartz</t>
  </si>
  <si>
    <t>Coude cintre 90° diam. 140 Zinc naturel</t>
  </si>
  <si>
    <t>Crapaudine conique galva 250/500</t>
  </si>
  <si>
    <t xml:space="preserve">Crapaudine galva droite 80/100 </t>
  </si>
  <si>
    <t>Crochet bandeau plastique 25 anthra</t>
  </si>
  <si>
    <t>Crochet bandeau plastique 25 blanc</t>
  </si>
  <si>
    <t>Crochet bandeau plastique 33 gris</t>
  </si>
  <si>
    <t>crochet carre</t>
  </si>
  <si>
    <t>crochet carre 33 ral 8014 (k37-330-8014)</t>
  </si>
  <si>
    <t xml:space="preserve">crochet Nantais acier galva </t>
  </si>
  <si>
    <t>Crochet pvc pour gouttière 33 blanc</t>
  </si>
  <si>
    <t>crochet universel Rouen en acier galva</t>
  </si>
  <si>
    <t>crochet vadot</t>
  </si>
  <si>
    <t>crochet vadot 'V' pregalva gouttière 1/2 33 dos plat</t>
  </si>
  <si>
    <t>crochet vadot 'V' quartz gouttière 1/2 33 dos plat</t>
  </si>
  <si>
    <t>Cuvette carree 220x220 diam. Zinc naturel</t>
  </si>
  <si>
    <t>Cuvette carree 220x220 diam. Zinc quartz</t>
  </si>
  <si>
    <t>Dauphin fonte d80 1ml MEP Blanc</t>
  </si>
  <si>
    <t>Descente fonte dia 125 lg 2ml crème</t>
  </si>
  <si>
    <t>Descente fonte droite dia 125 lg 1ml crème</t>
  </si>
  <si>
    <t>Descente fonte droite dia 80 lg 1ml noir</t>
  </si>
  <si>
    <t xml:space="preserve">Descente fonte ronde dia 75 lg 1ml rouge </t>
  </si>
  <si>
    <t>Déversoir alu</t>
  </si>
  <si>
    <t>Deversoir alu 100x100x500</t>
  </si>
  <si>
    <t>Deversoir alu 150x100x500</t>
  </si>
  <si>
    <t>Deversoir alu 200x100x500</t>
  </si>
  <si>
    <t>Deversoir alu 350x100x550</t>
  </si>
  <si>
    <t>evacuation eaux pluviale alu droite diamètre 105- hauteur 500</t>
  </si>
  <si>
    <t>evacuation eaux pluviale alu droite diamètre 116- hauteur 500</t>
  </si>
  <si>
    <t>evacuation eaux pluviale alu droite diamètre 95- hauteur 500</t>
  </si>
  <si>
    <t>evacuation eaux pluviale alu droite diamètre 96- hauteur 500</t>
  </si>
  <si>
    <t>Evacuation pluviale  galva</t>
  </si>
  <si>
    <t>evacuation ep 1,20mm galva diamètre 145 à 160mm</t>
  </si>
  <si>
    <t xml:space="preserve">evacuation ep 2mm galva diamètre 145 à 160 </t>
  </si>
  <si>
    <t>evacuation ep 2mm galva diamètre 701 à 800mm</t>
  </si>
  <si>
    <t>gouttière carree b18 zinc naturel 0,80 x 400 x 4000</t>
  </si>
  <si>
    <t>Gouttière carrée</t>
  </si>
  <si>
    <t>Gouttière carrée zinc quartz b14  0,65 x 333 4ml</t>
  </si>
  <si>
    <t>Naissance à dilatation GD33 PVC blanc</t>
  </si>
  <si>
    <t>Naissance agrafable zinc</t>
  </si>
  <si>
    <t>Naissance agrafable zinc Ø100</t>
  </si>
  <si>
    <t>Naissance agrafable zinc VM Ø100 demi-ronde</t>
  </si>
  <si>
    <t>Naissance centrale à coller GD25 PVC anthracite</t>
  </si>
  <si>
    <t>Naissance centrale à coller GD33 PVC blanc</t>
  </si>
  <si>
    <t>Naissance centrale à coller Ø80 PVC anthracite</t>
  </si>
  <si>
    <t>Naissance centrale à coller Ø80 PVC blanc</t>
  </si>
  <si>
    <t>bande pare gravier alu</t>
  </si>
  <si>
    <t>Pare-feuilles alu dev 33mm laqué zinc  1ml</t>
  </si>
  <si>
    <t>Trop plein alu</t>
  </si>
  <si>
    <t xml:space="preserve">trop plein alu diamètre 150 hauteur 100       </t>
  </si>
  <si>
    <t>trop plein alu</t>
  </si>
  <si>
    <t xml:space="preserve">Trop plein alu diamètre 250 hauteur 100  </t>
  </si>
  <si>
    <t>trop plein galva</t>
  </si>
  <si>
    <t>TROP PLEIN GALVA ep 12/10  périmètre de sortie de  401 à 500mm</t>
  </si>
  <si>
    <t>trop plein plomb</t>
  </si>
  <si>
    <t>TROP PLEIN PLOMB EP 2.5mm périmètre de sortie de  801 à 900mm</t>
  </si>
  <si>
    <t>Tuyau cylindrique</t>
  </si>
  <si>
    <t xml:space="preserve">Tuyau cylindrique soudé brun écorce d100 ep 0,70 2ml </t>
  </si>
  <si>
    <t xml:space="preserve">Tuyau cylindrique soudé zinc nat d120 0,70 2ml </t>
  </si>
  <si>
    <t>tuyau cylindrique soudé zincd anthra d100 ep 0,65 -3ml</t>
  </si>
  <si>
    <t>Tuyau cylindrique zinc nat d80 0,65 2ml</t>
  </si>
  <si>
    <t xml:space="preserve">Tuyau de descente </t>
  </si>
  <si>
    <t>tuyau descente d100 aquadrop 3ml ral 7016</t>
  </si>
  <si>
    <t>tuyau descente d100 aquadrop 3ml ral 9010</t>
  </si>
  <si>
    <t>Tuyau de descente étain zinc</t>
  </si>
  <si>
    <t>Tuyau descente soudé étain zinc d100 2m</t>
  </si>
  <si>
    <t xml:space="preserve">Tuyau fonte </t>
  </si>
  <si>
    <t xml:space="preserve">tuyau fonte d150  2 ml </t>
  </si>
  <si>
    <t>Tuyau rectangulaire étain</t>
  </si>
  <si>
    <t>Tuyau rectangulaire dev 401 à 500  zinc anthra ep 0.65 etain</t>
  </si>
  <si>
    <t>Tuyau tronconique soudé zinc nat d140 0,80 2ml</t>
  </si>
  <si>
    <t>Tuyau tronconique soudé zinc nat d160 0,80 2ml</t>
  </si>
  <si>
    <t>cisaille</t>
  </si>
  <si>
    <t>Cisaille à tôle droite 260mm</t>
  </si>
  <si>
    <t>Cisaille à tôle gauche 260mm</t>
  </si>
  <si>
    <t>Platine en tôle galva</t>
  </si>
  <si>
    <t>Platine en tôle galvanisée épaisse avec colaminé PVC  Ø140 mm – longueur 600 mm</t>
  </si>
  <si>
    <t>Platine en tôle galvanisée épaisse avec colaminé Ø120 mm – longueur 600 mm</t>
  </si>
  <si>
    <t>Platine brute galva</t>
  </si>
  <si>
    <t>Platine brute galvanisée Ø400 mm – longueur 400 mm</t>
  </si>
  <si>
    <t xml:space="preserve">raclette bois </t>
  </si>
  <si>
    <t>Raclette bois avec mousse – largeur 100 cm – manche Ø28 mm</t>
  </si>
  <si>
    <t>Raclette bois avec mousse – largeur 100 cm</t>
  </si>
  <si>
    <t>raclette métallique</t>
  </si>
  <si>
    <t>Raclette métallique professionnelle – largeur 75 cm</t>
  </si>
  <si>
    <t>Platine en alu</t>
  </si>
  <si>
    <t>Platine en aluminium Ø125 mm – longueur 600 mm</t>
  </si>
  <si>
    <t>Canne télescopique</t>
  </si>
  <si>
    <t xml:space="preserve">Canne télescopique 1,8 m </t>
  </si>
  <si>
    <t>Panne pour fers</t>
  </si>
  <si>
    <t>Panne pour fers 367/368/364</t>
  </si>
  <si>
    <t>Panne pour fers 367/369/364</t>
  </si>
  <si>
    <t>Panne turbo</t>
  </si>
  <si>
    <t xml:space="preserve">Panne turbo pour fers 364/367/368 </t>
  </si>
  <si>
    <t>MCBE0060</t>
  </si>
  <si>
    <t>Tuyaux zinc cylindrique</t>
  </si>
  <si>
    <t>tuyau cylindrique zinc d100 ep 0.65 - 2ml</t>
  </si>
  <si>
    <t>1 PIECE</t>
  </si>
  <si>
    <t>MCBE0037</t>
  </si>
  <si>
    <t>Trop plein alu diamètre 100 hauteur 100</t>
  </si>
  <si>
    <t>U</t>
  </si>
  <si>
    <t>MCBE0187</t>
  </si>
  <si>
    <t>dauphin fonte pavillonnaire droit diam 100 lg 1 ml creme</t>
  </si>
  <si>
    <t>MCBE0180</t>
  </si>
  <si>
    <t>dauphin fonte ø100 1ml coude blanc</t>
  </si>
  <si>
    <t>MCBE0071</t>
  </si>
  <si>
    <t xml:space="preserve">descente ep100 x 1.8 mm 4 ml pvc blanc </t>
  </si>
  <si>
    <t>MCBE0142</t>
  </si>
  <si>
    <t>crochet carre 40  t. ardoise (ke37-400a)</t>
  </si>
  <si>
    <t>MCBE0137</t>
  </si>
  <si>
    <t>sprint pince (crochet demi-lune+fixa) 33 boudin de 14 galva (2006fp33</t>
  </si>
  <si>
    <t>MCBE0058</t>
  </si>
  <si>
    <t xml:space="preserve">bande garde-grève galva dev 235 ht 120 7/10 en 2 ml </t>
  </si>
  <si>
    <t>MCBE0098</t>
  </si>
  <si>
    <t>100 PCE</t>
  </si>
  <si>
    <t>MCBE0484</t>
  </si>
  <si>
    <t>MCBE0072</t>
  </si>
  <si>
    <t xml:space="preserve">descente ep 100 x 1.8 mm 4 ml pvc gris </t>
  </si>
  <si>
    <t>MCBE0001</t>
  </si>
  <si>
    <t>MCBE0018</t>
  </si>
  <si>
    <t>MCBE0089</t>
  </si>
  <si>
    <t>MCBE0140</t>
  </si>
  <si>
    <t>crochet carre 33  t. quartz (k37-300q)</t>
  </si>
  <si>
    <t>MCBE0076</t>
  </si>
  <si>
    <t>descente ep 80 x 1.5 mm 4ml pvc blanc</t>
  </si>
  <si>
    <t>MCBE0006</t>
  </si>
  <si>
    <t>MCBE0097</t>
  </si>
  <si>
    <t>collier nerv. diam. 110 embase 7 pregalva</t>
  </si>
  <si>
    <t>MCBE0034</t>
  </si>
  <si>
    <t>MCBE0027</t>
  </si>
  <si>
    <t>Evacuation pluviale tronconique  alu</t>
  </si>
  <si>
    <t>evacuation ep tronconique alu diamètre 150 hauteur 300</t>
  </si>
  <si>
    <t>MCBE0144</t>
  </si>
  <si>
    <t>crochet bandeau prégalva  dev 33</t>
  </si>
  <si>
    <t>MCBE0478</t>
  </si>
  <si>
    <t>MCBE0036</t>
  </si>
  <si>
    <t>Trop plein alu diamètre 200 hauteur 100</t>
  </si>
  <si>
    <t>MCBE0023</t>
  </si>
  <si>
    <t>evacuation pluviale plomb</t>
  </si>
  <si>
    <t>evacuation eaux pluviale plomb droite diamètre int 95 - ext 95 - hauteur 400</t>
  </si>
  <si>
    <t>MCBE0033</t>
  </si>
  <si>
    <t>boite à eau zinc 200x200 hauteur 200 d95</t>
  </si>
  <si>
    <t>MCBE0151</t>
  </si>
  <si>
    <t>MCBE0028</t>
  </si>
  <si>
    <t>Evacuation pluviale tronconique alu</t>
  </si>
  <si>
    <t>evacuation ep tronconique alu diamètre 115 hauteur 300</t>
  </si>
  <si>
    <t>MCBE0087</t>
  </si>
  <si>
    <t>collier nervuré - acier galvanisé d 100</t>
  </si>
  <si>
    <t>MCBE0105</t>
  </si>
  <si>
    <t>MCBE0003</t>
  </si>
  <si>
    <t>MCBE0090</t>
  </si>
  <si>
    <t xml:space="preserve">collier carré 100 x 100 embase prégalva </t>
  </si>
  <si>
    <t>MCBE0107</t>
  </si>
  <si>
    <t xml:space="preserve">collier </t>
  </si>
  <si>
    <t>collier de fixation diam 100 avec patte a vis 7 x 40 a visser blanc</t>
  </si>
  <si>
    <t>MCBE0010</t>
  </si>
  <si>
    <t>evacuation eaux pluviale alu droite diamètre 140- hauteur 600</t>
  </si>
  <si>
    <t>MCBE0138</t>
  </si>
  <si>
    <t>crochet carre 33  pregalva (k37-330)</t>
  </si>
  <si>
    <t>MCBE0150</t>
  </si>
  <si>
    <t>MCBE0077</t>
  </si>
  <si>
    <t>descente ep 80 x 1.5 mm 4ml pvc gris</t>
  </si>
  <si>
    <t>MCBE0082</t>
  </si>
  <si>
    <t xml:space="preserve">descente fonte ronde dn 80 lg 2 ml rouge </t>
  </si>
  <si>
    <t>MCBE0068</t>
  </si>
  <si>
    <t>MCBE0064</t>
  </si>
  <si>
    <t>MCBE0030</t>
  </si>
  <si>
    <t>evacuation ep tronconique alu diamètre 95 hauteur 300</t>
  </si>
  <si>
    <t>MCBE0146</t>
  </si>
  <si>
    <t>MCBE0095</t>
  </si>
  <si>
    <t>MCBE0483</t>
  </si>
  <si>
    <t>gouttière 1/2 ronde d33  pvc blanc</t>
  </si>
  <si>
    <t>MCBE0022</t>
  </si>
  <si>
    <t>Evacuation puviale plomb</t>
  </si>
  <si>
    <t xml:space="preserve">evacuation eaux pluviale plomb droite diamètre int 70 - ext 75 - hauteur 400 </t>
  </si>
  <si>
    <t>MCBE0080</t>
  </si>
  <si>
    <t>descente fonte pavillonnaire droite diam 80 lg 1 ml rouge</t>
  </si>
  <si>
    <t>MCBE0139</t>
  </si>
  <si>
    <t>crochet carre 33  t. ardoise (k37-330a)</t>
  </si>
  <si>
    <t>MCBE0147</t>
  </si>
  <si>
    <t>MCBE0008</t>
  </si>
  <si>
    <t>evacuation eaux pluviale alu droite diamètre 120- hauteur 600</t>
  </si>
  <si>
    <t>Manche à balai</t>
  </si>
  <si>
    <t>Manche à balai bois 1,30M dia 24mm</t>
  </si>
  <si>
    <t>MCBE0094</t>
  </si>
  <si>
    <t>collier diam. 140 embase 7 galva</t>
  </si>
  <si>
    <t>MCBE0120</t>
  </si>
  <si>
    <t>coude cylindrique 72° diam. 100 zinc quartz</t>
  </si>
  <si>
    <t>MCBE0167</t>
  </si>
  <si>
    <t>cuvette branchement diam. 100 zinc quartz</t>
  </si>
  <si>
    <t>MCBE0477</t>
  </si>
  <si>
    <t>gouttière 1/2 ronde d25  pvc anthracite</t>
  </si>
  <si>
    <t>MCBE0032</t>
  </si>
  <si>
    <t>MCBE0101</t>
  </si>
  <si>
    <t>Collier galva</t>
  </si>
  <si>
    <t>collier nerv. diam. 160 embase 7 galva</t>
  </si>
  <si>
    <t>MCBE0125</t>
  </si>
  <si>
    <t>coude zinc</t>
  </si>
  <si>
    <t>coude cintre 90° diam. 100 zinc naturel</t>
  </si>
  <si>
    <t>MCBE0117</t>
  </si>
  <si>
    <t>collier de fixation diam 80 avec patte a vis 7 x 40 a visser blanc</t>
  </si>
  <si>
    <t>MCBE0103</t>
  </si>
  <si>
    <t>MCBE0108</t>
  </si>
  <si>
    <t>collier de fixation diam 100 avec patte a vis 7 x 40 a visser gris</t>
  </si>
  <si>
    <t>MCBE0160</t>
  </si>
  <si>
    <t>crochet bandeau MEP d33 blanc</t>
  </si>
  <si>
    <t>MCBE0166</t>
  </si>
  <si>
    <t>MCBE0155</t>
  </si>
  <si>
    <t>crochet bandeau MEP d25 anthracite</t>
  </si>
  <si>
    <t>MCBE0177</t>
  </si>
  <si>
    <t>cuvette 1/2 ronde face diam. 100 zinc naturel</t>
  </si>
  <si>
    <t>MCBE0063</t>
  </si>
  <si>
    <t>MCBE0134</t>
  </si>
  <si>
    <t>coude 100 mm 45° m/f m.e.p gris</t>
  </si>
  <si>
    <t>MCBE0053</t>
  </si>
  <si>
    <t>MCBE0012</t>
  </si>
  <si>
    <t>evacuation eaux pluviale alu droite diamètre 160- hauteur 600</t>
  </si>
  <si>
    <t>MCBE0159</t>
  </si>
  <si>
    <t>crochet bandeau  PVC sable - dev.25</t>
  </si>
  <si>
    <t>MCBE0054</t>
  </si>
  <si>
    <t>pare gravier galva 300x300</t>
  </si>
  <si>
    <t>MCBE0132</t>
  </si>
  <si>
    <t>coude cintre 90° diam. 80 zinc naturel</t>
  </si>
  <si>
    <t>MCBE0141</t>
  </si>
  <si>
    <t>crochet galva</t>
  </si>
  <si>
    <t>crochet carre 40  pregalva (k37-400)</t>
  </si>
  <si>
    <t>MCBE0126</t>
  </si>
  <si>
    <t>coude cintre 90° diam. 120 zinc naturel</t>
  </si>
  <si>
    <t>MCBE0482</t>
  </si>
  <si>
    <t>MCBE0136</t>
  </si>
  <si>
    <t xml:space="preserve"> sprint pince galva</t>
  </si>
  <si>
    <t>sprint pince (crochet demi-lune+fixation) 25 boudin de 14 galva</t>
  </si>
  <si>
    <t>MCBE0113</t>
  </si>
  <si>
    <t>collier de fixation diam 80  avec patte a vis 7 x 40 a visser gris</t>
  </si>
  <si>
    <t>MCBE0002</t>
  </si>
  <si>
    <t>MCBE0059</t>
  </si>
  <si>
    <t>bande pare gravier galva</t>
  </si>
  <si>
    <t xml:space="preserve">bande garde-grève galva dev 250 ht 140 7/10 en 2 ml </t>
  </si>
  <si>
    <t>MCBE0116</t>
  </si>
  <si>
    <t>collier de fixation diam 80 avec patte a vis 7 x 40 a visser anthra</t>
  </si>
  <si>
    <t>MCBE0079</t>
  </si>
  <si>
    <t>descente fonte pavillonnaire droite diam 100 lg 1 ml rouge</t>
  </si>
  <si>
    <t>MCBE0481</t>
  </si>
  <si>
    <t>gouttière 1/2 ronde d25  pvc noir</t>
  </si>
  <si>
    <t>MCBE0052</t>
  </si>
  <si>
    <t>trop plein cuivre/plomb</t>
  </si>
  <si>
    <t>trop plein cuivre/plomb diamètre 60 hauteur 400</t>
  </si>
  <si>
    <t>MCBE0073</t>
  </si>
  <si>
    <t xml:space="preserve">descente ep 100 x 1.8 mm pvc noir </t>
  </si>
  <si>
    <t>MCBE0039</t>
  </si>
  <si>
    <t xml:space="preserve">Trop plein alu </t>
  </si>
  <si>
    <t>trop plein alu diamètre 60 hauteur 600</t>
  </si>
  <si>
    <t>MCBE0031</t>
  </si>
  <si>
    <t>depalu conique</t>
  </si>
  <si>
    <t>evacuation ep alu conique diamètre 125</t>
  </si>
  <si>
    <t>MCBE0161</t>
  </si>
  <si>
    <t>crochet bandeau m.e.p gd33 gris</t>
  </si>
  <si>
    <t>MCBE0175</t>
  </si>
  <si>
    <t>Cuvette carée</t>
  </si>
  <si>
    <t>cuvette carree avec deg. 220x220 diam. 80 zinc naturel</t>
  </si>
  <si>
    <t>MCBE0479</t>
  </si>
  <si>
    <t>MCBE0091</t>
  </si>
  <si>
    <t>collier carré 100 x 100 embase quartz</t>
  </si>
  <si>
    <t>MCBE0100</t>
  </si>
  <si>
    <t>collier nerv. diam. 135 embase 7 galva</t>
  </si>
  <si>
    <t>MCBE0029</t>
  </si>
  <si>
    <t>evacuation ep tronconique alu diamètre 190 hauteur 300</t>
  </si>
  <si>
    <t>MCBE0074</t>
  </si>
  <si>
    <t>descente ep100 x 1.8 mm 4ml pvc sable</t>
  </si>
  <si>
    <t>MCBE0179</t>
  </si>
  <si>
    <t xml:space="preserve">Cuvette zinc </t>
  </si>
  <si>
    <t>cuvette 1/2 ronde face diam. 80 zinc naturel</t>
  </si>
  <si>
    <t>MCBE0025</t>
  </si>
  <si>
    <t>EP droite alu</t>
  </si>
  <si>
    <t>evacuation eaux pluviale pvc droite diamètre 80</t>
  </si>
  <si>
    <t>MCBE0156</t>
  </si>
  <si>
    <t>crochet bandeau m.e.p gd25 blanc</t>
  </si>
  <si>
    <t>MCBE0157</t>
  </si>
  <si>
    <t>crochet bandeau m.e.p gd25 gris</t>
  </si>
  <si>
    <t>MCBE0067</t>
  </si>
  <si>
    <t>tuyau tronconique soudé zinc nat d60mm ep. 0,65 - 2 ml</t>
  </si>
  <si>
    <t>MCBE0078</t>
  </si>
  <si>
    <t>descente ep 80 x 1.5 mm 4ml pvc noir</t>
  </si>
  <si>
    <t>MCBE0169</t>
  </si>
  <si>
    <t>MCBE0130</t>
  </si>
  <si>
    <t>coude cintre 90° diam. 60 zinc naturel</t>
  </si>
  <si>
    <t>MCBE0163</t>
  </si>
  <si>
    <t>crochet bandeau m.e.p gd33 sable</t>
  </si>
  <si>
    <t>MCBE0040</t>
  </si>
  <si>
    <t>trop plein alu diamètre 80 hauteur 600</t>
  </si>
  <si>
    <t>MCBE0109</t>
  </si>
  <si>
    <t>Collier</t>
  </si>
  <si>
    <t>collier de fixation diam 100 avec patte a vis 7 x 40 a visser noir</t>
  </si>
  <si>
    <t>MCBE0152</t>
  </si>
  <si>
    <t>crochet vadot 'v' pregalvanise gouttiere 1/2r 25 dos plat</t>
  </si>
  <si>
    <t>MCBE0110</t>
  </si>
  <si>
    <t>collier de fixation diam 100 avec patte a vis 7 x 40 a visser sable</t>
  </si>
  <si>
    <t>MCBE0069</t>
  </si>
  <si>
    <t xml:space="preserve">descente ep 100 x 1.8 mm x 2.80 ml sable   </t>
  </si>
  <si>
    <t>MCBE0062</t>
  </si>
  <si>
    <t>tuyau cylindrique zinc d80 ep 0.65 - 2ml</t>
  </si>
  <si>
    <t>MCBE0014</t>
  </si>
  <si>
    <t>evacuation eaux pluviale alu droite diamètre 75- hauteur 500</t>
  </si>
  <si>
    <t>MCBE0115</t>
  </si>
  <si>
    <t>collier EP tuyau</t>
  </si>
  <si>
    <t>collier de fixation diam 80  avec patte a vis 7 x 40 a visser sable</t>
  </si>
  <si>
    <t>MCBE0195</t>
  </si>
  <si>
    <t>Fond de gouttière universel pvc</t>
  </si>
  <si>
    <t>fond de gouttiere droit a coller tradition sable m.e.p</t>
  </si>
  <si>
    <t>MCBE0038</t>
  </si>
  <si>
    <t>trop plein alu diamètre 40 hauteur 600</t>
  </si>
  <si>
    <t>MCBE0041</t>
  </si>
  <si>
    <t>trop plein alu diamètre 40 hauteur 400</t>
  </si>
  <si>
    <t>MCBE0045</t>
  </si>
  <si>
    <t>Trop plein galva</t>
  </si>
  <si>
    <t>trop plein galva ép 15/10 périmètre de sortie de 501 à 600mm</t>
  </si>
  <si>
    <t>MCBE0047</t>
  </si>
  <si>
    <t>Trop plein Galva</t>
  </si>
  <si>
    <t>trop plein galva ép 15/10 périmètre de sortie de 701 à 800mm</t>
  </si>
  <si>
    <t>MCBE0048</t>
  </si>
  <si>
    <t>ensemble monté</t>
  </si>
  <si>
    <t>trop plein colaminé galva ép 12/10 périmètre de sortie de 501 à 600mm</t>
  </si>
  <si>
    <t>Truelle</t>
  </si>
  <si>
    <t>Truelle langue de chat 14 cm</t>
  </si>
  <si>
    <t>Pinceau</t>
  </si>
  <si>
    <t>Queue de morue manche bois 100mm</t>
  </si>
  <si>
    <t>Brouette</t>
  </si>
  <si>
    <t>Brouette agricola twin 2 roues increvables</t>
  </si>
  <si>
    <t>Brouette agricola twin 2 roues gonflées</t>
  </si>
  <si>
    <t xml:space="preserve">Targette soudure 28% </t>
  </si>
  <si>
    <t xml:space="preserve">Targette soudure 40% </t>
  </si>
  <si>
    <t>manchon pinceau</t>
  </si>
  <si>
    <t>Manchon patte de lapin 10cm</t>
  </si>
  <si>
    <t>Boite à cable</t>
  </si>
  <si>
    <t>Boite à cable 200*200</t>
  </si>
  <si>
    <t>Boite à cable 250*250</t>
  </si>
  <si>
    <t>Chapeau chinois N°1 de 80 à 111 mm</t>
  </si>
  <si>
    <t>Chapeau chinois N°2 de 120 à 140 mm</t>
  </si>
  <si>
    <t>Chapeau chinois N°3 de 153 à 180 mm</t>
  </si>
  <si>
    <t>Chapeau de ventilation alu</t>
  </si>
  <si>
    <t>Chapeau de ventilation métallique dia 400mm  alu</t>
  </si>
  <si>
    <t>Ventilation alu</t>
  </si>
  <si>
    <t xml:space="preserve">Ventilation Alu D. Tube 300dia  (500/200) </t>
  </si>
  <si>
    <t xml:space="preserve">Ventilation Alu D. Tube 500dia  (500/200) </t>
  </si>
  <si>
    <t>Closoir 0,31*10m</t>
  </si>
  <si>
    <t>Terminal ubiflu 315mm rouge</t>
  </si>
  <si>
    <t>Terminal ubiflu 450mm rouge</t>
  </si>
  <si>
    <t>Terminal ubiflu 355mm anthracite</t>
  </si>
  <si>
    <t>Terminal ubiflu 500mm anthracite</t>
  </si>
  <si>
    <t>Terminal ubiflu 500mm rouge</t>
  </si>
  <si>
    <t>Terminal ubiflu 400mm rouge</t>
  </si>
  <si>
    <t>Solinet</t>
  </si>
  <si>
    <t>angle rentrant rf/e 70 - 60 x 60 mm</t>
  </si>
  <si>
    <t>Solinet 70</t>
  </si>
  <si>
    <t>Solin RF-E 70  alu 3ml</t>
  </si>
  <si>
    <t>Solin aluform 70 avec joint 3ml</t>
  </si>
  <si>
    <t>angle rentrant pour rf-e 15 / 40</t>
  </si>
  <si>
    <t>angle sortant rf/e 70  - 60 x 60 mm</t>
  </si>
  <si>
    <t>angle sortant pour rf-e 15 / 40</t>
  </si>
  <si>
    <t>TUILE</t>
  </si>
  <si>
    <t>ALEGRA</t>
  </si>
  <si>
    <t>Demi tuile  Alegra - Anthracite</t>
  </si>
  <si>
    <t>1PC</t>
  </si>
  <si>
    <t>Demi tuile  Alegra - Rouge naturel</t>
  </si>
  <si>
    <t>Double HP 20</t>
  </si>
  <si>
    <t>Demi tuile  double HP 20 - Flamme rustique</t>
  </si>
  <si>
    <t>JURA NOVA</t>
  </si>
  <si>
    <t>Demi tuile  Jura nova - Rouge naturel</t>
  </si>
  <si>
    <t>Monopole n°1 306</t>
  </si>
  <si>
    <t>Demi tuile  Monopole n°1 306 - Flamme rustique</t>
  </si>
  <si>
    <t>PANNE</t>
  </si>
  <si>
    <t>Demi tuile  Panne - Rouge naturel</t>
  </si>
  <si>
    <t>Ste foy</t>
  </si>
  <si>
    <t>Demi tuile  plate pressée Ste Foy - Rouge nuancé</t>
  </si>
  <si>
    <t>Signy</t>
  </si>
  <si>
    <t>Demi tuile  Signy - Rouge vieilli</t>
  </si>
  <si>
    <t>Tempête 44</t>
  </si>
  <si>
    <t>Demi tuile  tempête 44 - Amarante</t>
  </si>
  <si>
    <t>Demi tuile  tempête 44 - Rustique</t>
  </si>
  <si>
    <t>Actua</t>
  </si>
  <si>
    <t>Demi tuile Actua -nuagé</t>
  </si>
  <si>
    <t>Demi tuile Alegra - Ardoise</t>
  </si>
  <si>
    <t>BEAUVOISE</t>
  </si>
  <si>
    <t>Demi tuile Beauvoise -Ardoise</t>
  </si>
  <si>
    <t>CÔTE FLEURIE PV</t>
  </si>
  <si>
    <t>Demi tuile Côte fleurie PV</t>
  </si>
  <si>
    <t>Demi tuile double HP -ardoisé</t>
  </si>
  <si>
    <t>Kanal 10</t>
  </si>
  <si>
    <t>Demi tuile Kanal - Ardoise</t>
  </si>
  <si>
    <t>Demi tuile Monopole n°1  306 - Rouge</t>
  </si>
  <si>
    <t>Demi tuile Monopole n°1  306 - Vieilli masse</t>
  </si>
  <si>
    <t>Demi tuile Panne - Amarante rustique</t>
  </si>
  <si>
    <t>PLATE 301</t>
  </si>
  <si>
    <t>Demi tuile Plate 301 - Bleu fumé</t>
  </si>
  <si>
    <t>ancrage dissipateur</t>
  </si>
  <si>
    <t>Ancrage dissipateur pour bac sec</t>
  </si>
  <si>
    <t>POSTEL 20</t>
  </si>
  <si>
    <t>Demi tuile Postel  20 -rouge naturel</t>
  </si>
  <si>
    <t xml:space="preserve">POSTEL </t>
  </si>
  <si>
    <t>Demi tuile Postel 20 -Rouge vieilli</t>
  </si>
  <si>
    <t>Renaissance</t>
  </si>
  <si>
    <t>Demi tuile renaissance -brun rustique</t>
  </si>
  <si>
    <t>Rustique</t>
  </si>
  <si>
    <t>Demi tuile Rustique - Brun</t>
  </si>
  <si>
    <t>Tempête 18</t>
  </si>
  <si>
    <t>Demi tuile Tempête 18 - Rouge</t>
  </si>
  <si>
    <t>TERROISE</t>
  </si>
  <si>
    <t>Demi tuile Terroise - Flamme rustique</t>
  </si>
  <si>
    <t>Innotech</t>
  </si>
  <si>
    <t>Demi-tuile Innotech - Noir (02)</t>
  </si>
  <si>
    <t>Demi-tuile Innotech - Rouge (22)</t>
  </si>
  <si>
    <t>Nobilee</t>
  </si>
  <si>
    <t>Demi-tuile Nobilee - Sabayon (43)</t>
  </si>
  <si>
    <t>Faitière  Alegra - Rouge naturel</t>
  </si>
  <si>
    <t>Faitière  double HP 20 - Flamme rustique</t>
  </si>
  <si>
    <t>Faitière  Jura nova - Rouge naturel</t>
  </si>
  <si>
    <t>Faitière  Monopole n°1 306 - Flamme rustique</t>
  </si>
  <si>
    <t>Faitière  Panne - Rouge naturel</t>
  </si>
  <si>
    <t>Faitière  Signy - Rouge vieilli</t>
  </si>
  <si>
    <t>Faitière  tempête 44 - Amarante</t>
  </si>
  <si>
    <t>Faitière  tempête 44 - Rustique</t>
  </si>
  <si>
    <t>1/2 ronde à emboîtement</t>
  </si>
  <si>
    <t>Faitière 1/2 ronde à emboîtement - Ardoise</t>
  </si>
  <si>
    <t xml:space="preserve">Faitière Actua nuagé </t>
  </si>
  <si>
    <t>Faitière Alegra - Anthracite</t>
  </si>
  <si>
    <t>Faitière Alegra - Ardoise</t>
  </si>
  <si>
    <t>Faitière Beauvoise -Ardoise</t>
  </si>
  <si>
    <t>Faitière Côte fleurie PV</t>
  </si>
  <si>
    <t>Faitière double HP -ardoisé</t>
  </si>
  <si>
    <t>Faitière Innotech - Noir (02)</t>
  </si>
  <si>
    <t>Faitière Innotech - Rouge (22)</t>
  </si>
  <si>
    <t>Faitière Kanal - Ardoise</t>
  </si>
  <si>
    <t>Faitière Monopole n°1  306 - Rouge</t>
  </si>
  <si>
    <t>Faitière Monopole n°1  306 - Vieilli masse</t>
  </si>
  <si>
    <t>Faitière Nobilee - Sabayon (43)</t>
  </si>
  <si>
    <t>Faitière Panne - Amarante rustique</t>
  </si>
  <si>
    <t>Faitière Plate 301 - Bleu fumé</t>
  </si>
  <si>
    <t>Faitière plate pressée Ste Foy - Rouge nuancé</t>
  </si>
  <si>
    <t>Faitière Postel  20 -rouge naturel</t>
  </si>
  <si>
    <t>Faitière Postel 20 -Rouge vieilli</t>
  </si>
  <si>
    <t>Faitière renaissance -brun rustique</t>
  </si>
  <si>
    <t>Faitière Rustique - Brun</t>
  </si>
  <si>
    <t>Faitière Tempête 18 - Rouge</t>
  </si>
  <si>
    <t>Faitière Terroise - Flamme rustique</t>
  </si>
  <si>
    <t>Tuile  rabat gauche double HP -ardoisé</t>
  </si>
  <si>
    <t>Tuile à rabat droit Innotech rouge (22)</t>
  </si>
  <si>
    <t>1000PC</t>
  </si>
  <si>
    <t>Tuile à rabat droit Tempête 18 - Rouge</t>
  </si>
  <si>
    <t>Tuile à rabat droite Beauvoise - Ardoise</t>
  </si>
  <si>
    <t>Tuile à rabat droite Innotech - Noir (02)</t>
  </si>
  <si>
    <t>Tuile à rabat droite Nobilee - Sabayon (43)</t>
  </si>
  <si>
    <t>Tuile à rabat gauche Beauvoise - Ardoise</t>
  </si>
  <si>
    <t>Tuile à rabat gauche Innotech - Noir (02)</t>
  </si>
  <si>
    <t>Tuile à rabat gauche Innotech rouge ( 22)</t>
  </si>
  <si>
    <t>Tuile à rabat gauche Nobilee - Sabayon (43)</t>
  </si>
  <si>
    <t>Tuile à rabat gauche Tempête 18 - Rouge</t>
  </si>
  <si>
    <t xml:space="preserve">Tuile Actua -nuagé </t>
  </si>
  <si>
    <t>Tuile Alegra - Anthracite</t>
  </si>
  <si>
    <t>Tuile Alegra - Ardoise</t>
  </si>
  <si>
    <t>Tuile Alegra  rabat gauche - Rouge</t>
  </si>
  <si>
    <t>MCBE0371</t>
  </si>
  <si>
    <t>Tuyau de gaz prémonté</t>
  </si>
  <si>
    <t>Tuyau de gaz pré-monté Ø6,3 mm – longueur 20 mètres</t>
  </si>
  <si>
    <t>MCBE0372</t>
  </si>
  <si>
    <t>Manche chalumeau</t>
  </si>
  <si>
    <t>Manche métallique avec raccord tournant pour chalumeau</t>
  </si>
  <si>
    <t>MCBE0373</t>
  </si>
  <si>
    <t>Godet en titane Ø50 mm – puissance 50 kW avec col de 130 mm</t>
  </si>
  <si>
    <t>MCBE0374</t>
  </si>
  <si>
    <t>Lance avec godet</t>
  </si>
  <si>
    <t>Lance avec godet en titane Ø70 mm – longueur 130 mm – puissance 150 kW</t>
  </si>
  <si>
    <t>MCBE0375</t>
  </si>
  <si>
    <t>Godet en titane Ø70 mm – puissance 150 kW avec col de 400 mm</t>
  </si>
  <si>
    <t>MCBE0376</t>
  </si>
  <si>
    <t>Godet en titane Ø70 mm – puissance 150 kW avec col de 600 mm</t>
  </si>
  <si>
    <t>MCBE0384</t>
  </si>
  <si>
    <t>MCBE0393</t>
  </si>
  <si>
    <t xml:space="preserve">Tire chape </t>
  </si>
  <si>
    <t>Tire-chape type canne avec étancheur intégré</t>
  </si>
  <si>
    <t>MCBE0406</t>
  </si>
  <si>
    <t>Triac</t>
  </si>
  <si>
    <t xml:space="preserve">Triac ST 230V 1600W </t>
  </si>
  <si>
    <t>MCBE0407</t>
  </si>
  <si>
    <t>Triac AT 230V 1600W</t>
  </si>
  <si>
    <t>MCBE0412</t>
  </si>
  <si>
    <t xml:space="preserve">Rouleau Maroufleur 40mm marque Leister </t>
  </si>
  <si>
    <t>MCBE0417</t>
  </si>
  <si>
    <t>Buse</t>
  </si>
  <si>
    <t xml:space="preserve">Buse Plate 40mm </t>
  </si>
  <si>
    <t>MCBE0395</t>
  </si>
  <si>
    <t>Ensemble</t>
  </si>
  <si>
    <t xml:space="preserve">Ensemble Fer à Souder Complet </t>
  </si>
  <si>
    <t>MCBE0416</t>
  </si>
  <si>
    <t xml:space="preserve">Buse Plate 20mm U </t>
  </si>
  <si>
    <t>MCBE0414</t>
  </si>
  <si>
    <t xml:space="preserve">Rouleau Maroufleur 6mm marque Leister </t>
  </si>
  <si>
    <t>MCBE0419</t>
  </si>
  <si>
    <t>Ciseaux</t>
  </si>
  <si>
    <t xml:space="preserve">Ciseaux Couturière </t>
  </si>
  <si>
    <t>MCBE0402</t>
  </si>
  <si>
    <t>Griffe</t>
  </si>
  <si>
    <t xml:space="preserve">Griffe au Carbure/Fibro Ciment </t>
  </si>
  <si>
    <t>MCBE0422</t>
  </si>
  <si>
    <t>Pointe</t>
  </si>
  <si>
    <t xml:space="preserve">Pointe de contrôle </t>
  </si>
  <si>
    <t>MCBE0396</t>
  </si>
  <si>
    <t xml:space="preserve">Panne Express 678/236 G 35x3,5 </t>
  </si>
  <si>
    <t>MCBE0397</t>
  </si>
  <si>
    <t>Panne Express 679/315 G 45x5</t>
  </si>
  <si>
    <t>MCBE0404</t>
  </si>
  <si>
    <t>MCBE0403</t>
  </si>
  <si>
    <t xml:space="preserve">Ensemble sur Platine DIPAG </t>
  </si>
  <si>
    <t>MCBE0400</t>
  </si>
  <si>
    <t>Tuile Alegra - Rouge naturel</t>
  </si>
  <si>
    <t>Tuile Alegra à rabat gauche - Anthracite</t>
  </si>
  <si>
    <t>MCBE0356</t>
  </si>
  <si>
    <t>Réservations</t>
  </si>
  <si>
    <t xml:space="preserve">Réservation type Z GAC ép10mm long130mm (2 trous) + accroche filet MarqNF </t>
  </si>
  <si>
    <t>MCBE0357</t>
  </si>
  <si>
    <t xml:space="preserve">Réservation type Z GAC ép10mm long200mm (2 trous) + accroche filet MarqNF </t>
  </si>
  <si>
    <t>MCBE0350</t>
  </si>
  <si>
    <t>Filet périphérique</t>
  </si>
  <si>
    <t xml:space="preserve">Filet Périph 20 x 1M D 3mm </t>
  </si>
  <si>
    <t>MCBE0364</t>
  </si>
  <si>
    <t>Potelet</t>
  </si>
  <si>
    <t xml:space="preserve">Potelet d'Ancrage Galva A Chaud Carré H 500mm P.V. </t>
  </si>
  <si>
    <t>MCBE0358</t>
  </si>
  <si>
    <t xml:space="preserve">Réservation type Z GAC ép10mm long250mm (2 trous) + accroche filet MarqNF </t>
  </si>
  <si>
    <t>MCBE0359</t>
  </si>
  <si>
    <t>Potelet Carré GAC Bloqueur de Lisse haute, 2 accroches filet V</t>
  </si>
  <si>
    <t>MCBE0353</t>
  </si>
  <si>
    <t>Pince</t>
  </si>
  <si>
    <t xml:space="preserve">Pince Révercible GAC sans renfort caoutchouc sur platin non MarqNF </t>
  </si>
  <si>
    <t>MCBE0349</t>
  </si>
  <si>
    <t xml:space="preserve">Filet Périph 10 x 1M D 3mm </t>
  </si>
  <si>
    <t>Tuile Alegra rabat droit - Rouge</t>
  </si>
  <si>
    <t>Tuile Alegra rabat droite - Anthracite</t>
  </si>
  <si>
    <t>Tuile Alegra rabat droite - Ardoise</t>
  </si>
  <si>
    <t>Tuile Alegra rabat gauche - Ardoise</t>
  </si>
  <si>
    <t>Tuile Beauvoise -Ardoise</t>
  </si>
  <si>
    <t>Tuile Côte fleurie PV</t>
  </si>
  <si>
    <t>Tuile double HP 20 - Flamme rustique</t>
  </si>
  <si>
    <t>MCBE0277</t>
  </si>
  <si>
    <t>boite à cable</t>
  </si>
  <si>
    <t>Boite à cable 125*125</t>
  </si>
  <si>
    <t>MCBE0278</t>
  </si>
  <si>
    <t>Boite à cable 150x150</t>
  </si>
  <si>
    <t>MCBE0288</t>
  </si>
  <si>
    <t>Chapeau universel alu  A2 130/168</t>
  </si>
  <si>
    <t>MCBE0287</t>
  </si>
  <si>
    <t>Chapeau universel alu A1  80/125</t>
  </si>
  <si>
    <t>MCBE0293</t>
  </si>
  <si>
    <t>MCBE0300</t>
  </si>
  <si>
    <t>Crosse alu Diamètre 80</t>
  </si>
  <si>
    <t>MCBE0303</t>
  </si>
  <si>
    <t>Crosse alu Diamètre 100</t>
  </si>
  <si>
    <t>MCBE0301</t>
  </si>
  <si>
    <t>Crosse alu Diamètre 60</t>
  </si>
  <si>
    <t>MCBE0308</t>
  </si>
  <si>
    <t xml:space="preserve">Ventilation Alu D. Tube 125mm x 700mm (200/500) </t>
  </si>
  <si>
    <t>MCBE0313</t>
  </si>
  <si>
    <t xml:space="preserve">Ventilation Alu D.Tube 180mm x 700mm (200/500) </t>
  </si>
  <si>
    <t>MCBE0314</t>
  </si>
  <si>
    <t>Ventilation Alu D. Tube 200mm x 700mm (200/500)</t>
  </si>
  <si>
    <t>MCBE0316</t>
  </si>
  <si>
    <t xml:space="preserve">Ventilation Alu D. Tube 250mm x 700mm (200/500) </t>
  </si>
  <si>
    <t>MCBE0289</t>
  </si>
  <si>
    <t>Chapeau universel alu A3 180/250</t>
  </si>
  <si>
    <t>MCBE0306</t>
  </si>
  <si>
    <t xml:space="preserve">Ventilation Alu D. Tube 110mm x 700mm (200/500) </t>
  </si>
  <si>
    <t>MCBE0309</t>
  </si>
  <si>
    <t xml:space="preserve">Ventilation Alu D. Tube 130mm x 700mm (200/500) </t>
  </si>
  <si>
    <t>MCBE0283</t>
  </si>
  <si>
    <t>Chapeau de ventilation PVC</t>
  </si>
  <si>
    <t xml:space="preserve">Chapeau de ventilation simple ardoise Diamètre 100 </t>
  </si>
  <si>
    <t>MCBE0310</t>
  </si>
  <si>
    <t xml:space="preserve">Ventilation Alu D.Tube 140mm x 700mm (200/500) </t>
  </si>
  <si>
    <t>MCBE0312</t>
  </si>
  <si>
    <t>Ventilation Alu D. Tube 160mm x 700mm (200/500)</t>
  </si>
  <si>
    <t>MCBE0302</t>
  </si>
  <si>
    <t>Crosse alu Diamètre 50</t>
  </si>
  <si>
    <t>MCBE0307</t>
  </si>
  <si>
    <t xml:space="preserve"> Ventilation Alu D. Tube 115mm x 700mm (200/500) </t>
  </si>
  <si>
    <t>MCBE0305</t>
  </si>
  <si>
    <t xml:space="preserve">Ventilation Alu D. Tube 95mm x 700mm (200/500) </t>
  </si>
  <si>
    <t>Tuile double HP -ardoisé</t>
  </si>
  <si>
    <t>Romane</t>
  </si>
  <si>
    <t>Tuile Double Romane - Rouge (22)</t>
  </si>
  <si>
    <t>Tuile Double Romane - Rouge Vieilli (90)</t>
  </si>
  <si>
    <t>MCBE0326</t>
  </si>
  <si>
    <t xml:space="preserve">Soleco 15/40 Alu Brut ML 3ml 2,45 </t>
  </si>
  <si>
    <t>MCBE0319</t>
  </si>
  <si>
    <t xml:space="preserve"> Solinet 60/50 Alu Brut ML 3ml</t>
  </si>
  <si>
    <t>MCBE0335</t>
  </si>
  <si>
    <t>Angle Rentrant Solinet 15/40</t>
  </si>
  <si>
    <t>chevron sapin/epicea trcl2 63x75 4m- au m</t>
  </si>
  <si>
    <t>MCBE0320</t>
  </si>
  <si>
    <t xml:space="preserve">Solinet Porte Dalle 15/40 Alu Brut ML </t>
  </si>
  <si>
    <t>MCBE0332</t>
  </si>
  <si>
    <t xml:space="preserve">Angle Sortant Solinet Solinet 15/40 </t>
  </si>
  <si>
    <t>Tuile Innotech - Noir (02)</t>
  </si>
  <si>
    <t>Tuile Innotech - Rouge (22)</t>
  </si>
  <si>
    <t>MCBE0334</t>
  </si>
  <si>
    <t xml:space="preserve">Jonction Solinet 15/40 </t>
  </si>
  <si>
    <t>MCBE0327</t>
  </si>
  <si>
    <t xml:space="preserve">Jonction Soleco 15/40 </t>
  </si>
  <si>
    <t>MCBE0323</t>
  </si>
  <si>
    <t xml:space="preserve"> Angle Rentrant Solinet 60/50 </t>
  </si>
  <si>
    <t>MCBE0329</t>
  </si>
  <si>
    <t xml:space="preserve">Angle Rentrant Solinet Porte Dalle 15/40 </t>
  </si>
  <si>
    <t>MCBE0328</t>
  </si>
  <si>
    <t xml:space="preserve">Jonction Solinet 60/50 </t>
  </si>
  <si>
    <t>MCBE0325</t>
  </si>
  <si>
    <t xml:space="preserve">Angle Sortant Solinet 60/50 </t>
  </si>
  <si>
    <t>MCBE0324</t>
  </si>
  <si>
    <t xml:space="preserve">Jonction Solinet Porte Dalle 15/40 </t>
  </si>
  <si>
    <t>Tuile Jura nova - Rouge naturel</t>
  </si>
  <si>
    <t>Tuile Kanal - Ardoise</t>
  </si>
  <si>
    <t>Tuile Monopole n°1  306 - Rouge</t>
  </si>
  <si>
    <t>Tuile Monopole n°1  306 - Vieilli masse</t>
  </si>
  <si>
    <t>Tuile Monopole n°1 306 - Flamme rustique</t>
  </si>
  <si>
    <t>Tuile Monopole n°1 306  rabat droit -Flamme rustique</t>
  </si>
  <si>
    <t>Tuile Monopole n°1 306 rabat gauche -Flamme rustique</t>
  </si>
  <si>
    <t>Tuile Nobilee - Sabayon (43)</t>
  </si>
  <si>
    <t>MCBE0228</t>
  </si>
  <si>
    <t>PLOTS POUR DALLES</t>
  </si>
  <si>
    <t>PLOT REGLABLE 150-260</t>
  </si>
  <si>
    <t>MCBE0219</t>
  </si>
  <si>
    <t>DALLE BETON</t>
  </si>
  <si>
    <t xml:space="preserve">Dalle béton grise 50 x 50  </t>
  </si>
  <si>
    <t>MCBE0226</t>
  </si>
  <si>
    <t>PLOT REGLABLE 90-150</t>
  </si>
  <si>
    <t>MCBE0225</t>
  </si>
  <si>
    <t>PLOT REGLABLE 60-90</t>
  </si>
  <si>
    <t>MCBE0224</t>
  </si>
  <si>
    <t>PLOT REGLABLE 40-60</t>
  </si>
  <si>
    <t>MCBE0223</t>
  </si>
  <si>
    <t>PLOT REGLABLE 25-40</t>
  </si>
  <si>
    <t>MCBE0220</t>
  </si>
  <si>
    <t xml:space="preserve">Dalle béton grise 40 x 40 </t>
  </si>
  <si>
    <t>Bâche latex 250 bleu 8x10Ml</t>
  </si>
  <si>
    <t>chevron sapin/epicea trcl2 63x75 5m - au m</t>
  </si>
  <si>
    <t>Bâche latex 250 bleu 6x8Ml</t>
  </si>
  <si>
    <t>Bâche latex 250 bleu 6x12Ml</t>
  </si>
  <si>
    <t>crochet  de sécurité</t>
  </si>
  <si>
    <t>Crochet de sécurité zinc pour joint debout</t>
  </si>
  <si>
    <t>Ecran sous toiture</t>
  </si>
  <si>
    <t>Ecran sous toiture multivap 150</t>
  </si>
  <si>
    <t>1 RLX</t>
  </si>
  <si>
    <t>chevron sapin/epicea trcl2 40x60 4m - au m</t>
  </si>
  <si>
    <t>PLANCHE DE COFFRAGE</t>
  </si>
  <si>
    <t>planche sapin/epicea ch2 ntr  27x200 4m - au m</t>
  </si>
  <si>
    <t>MCBE0239</t>
  </si>
  <si>
    <t>LITEAU</t>
  </si>
  <si>
    <t>liteau sapin 14x38 - au m</t>
  </si>
  <si>
    <t>MCBE0240</t>
  </si>
  <si>
    <t>liteau sapin 14x40 - au m</t>
  </si>
  <si>
    <t>Tuile Panne - Amarante rustique</t>
  </si>
  <si>
    <t>Tuile Panne - Rouge naturel</t>
  </si>
  <si>
    <t>Tuile Plate 301 - Bleu fumé</t>
  </si>
  <si>
    <t>Tuile plate pressée Ste Foy - Rouge nuancé</t>
  </si>
  <si>
    <t>Tuile Postel 20  -rouge naturel</t>
  </si>
  <si>
    <t>Tuile Postel 20 -Rouge vieilli</t>
  </si>
  <si>
    <t>Tuile rabat gauche double HP -ardoisé</t>
  </si>
  <si>
    <t xml:space="preserve">Tuile renaissance -brun rustique </t>
  </si>
  <si>
    <t>Tuile Rustique - Brun</t>
  </si>
  <si>
    <t>Tuile Signy - Rouge vieilli</t>
  </si>
  <si>
    <t>Tuile Tempête 18 - Rouge</t>
  </si>
  <si>
    <t>MCBE0241</t>
  </si>
  <si>
    <t>liteau sapin 16x38 - au m</t>
  </si>
  <si>
    <t>MCBE0242</t>
  </si>
  <si>
    <t>liteau sapin 18x38 - au m</t>
  </si>
  <si>
    <t>MCBE0243</t>
  </si>
  <si>
    <t>liteau sapin 18x40 - au m</t>
  </si>
  <si>
    <t>MCBE0244</t>
  </si>
  <si>
    <t>liteau sapin 18x48 - au m</t>
  </si>
  <si>
    <t>MCBE0245</t>
  </si>
  <si>
    <t>liteau sapin 18x50 - au m</t>
  </si>
  <si>
    <t>MCBE0246</t>
  </si>
  <si>
    <t>liteau sapin 20x38 - au m</t>
  </si>
  <si>
    <t>MCBE0247</t>
  </si>
  <si>
    <t>liteau sapin 20x40 - au m</t>
  </si>
  <si>
    <t>MCBE0248</t>
  </si>
  <si>
    <t>liteau sapin 24x38 - au m</t>
  </si>
  <si>
    <t>MCBE0249</t>
  </si>
  <si>
    <t>liteau sapin 24x40 - au m</t>
  </si>
  <si>
    <t>planche sapin/epicea ch2 ntr  27x150 4m - au m</t>
  </si>
  <si>
    <t>planche sapin epicea ch2 ntr  27x305 4m - au m</t>
  </si>
  <si>
    <t>planche sapin epicea ch2 ntr  25x200 4m - au m</t>
  </si>
  <si>
    <t>MCBE0253</t>
  </si>
  <si>
    <t>liteau sapin 27x32 - au m</t>
  </si>
  <si>
    <t>MCBE0255</t>
  </si>
  <si>
    <t>liteau sapin 27x40 - au m</t>
  </si>
  <si>
    <t>MCBE0256</t>
  </si>
  <si>
    <t>liteau sapin 32x32 - au m</t>
  </si>
  <si>
    <t>MCBE0257</t>
  </si>
  <si>
    <t>liteau sapin 38x38 - au m</t>
  </si>
  <si>
    <t>MCBE0258</t>
  </si>
  <si>
    <t>MADRIER</t>
  </si>
  <si>
    <t>madrier 75x225 - au m</t>
  </si>
  <si>
    <t>MCBE0261</t>
  </si>
  <si>
    <t>PLANCHE DE RIVE</t>
  </si>
  <si>
    <t>planche de rive 21x170 - au m</t>
  </si>
  <si>
    <t>MCBE0262</t>
  </si>
  <si>
    <t>planche de rive 21x220 - au m</t>
  </si>
  <si>
    <t>MCBE0263</t>
  </si>
  <si>
    <t>planche de rive 28x220 - au m</t>
  </si>
  <si>
    <t>MCBE0264</t>
  </si>
  <si>
    <t>TASSEAU</t>
  </si>
  <si>
    <t>tasseau 38x38x27 - au m</t>
  </si>
  <si>
    <t>MCBE0265</t>
  </si>
  <si>
    <t>tasseau 40x40x25 -au m</t>
  </si>
  <si>
    <t>MCBE0266</t>
  </si>
  <si>
    <t>tasseau 50x50x25 - au m</t>
  </si>
  <si>
    <t>MCBE0267</t>
  </si>
  <si>
    <t>tasseau 50x50x30 - au m</t>
  </si>
  <si>
    <t>MCBE0268</t>
  </si>
  <si>
    <t>tasseau 60x60x35 - au m</t>
  </si>
  <si>
    <t>MCBE0269</t>
  </si>
  <si>
    <t>tasseau 80x80x45 - au m</t>
  </si>
  <si>
    <t>MCBE0270</t>
  </si>
  <si>
    <t>VOLIGE</t>
  </si>
  <si>
    <t>volige 18x100 - au m</t>
  </si>
  <si>
    <t>MCBE0271</t>
  </si>
  <si>
    <t>volige 18x150 - au m</t>
  </si>
  <si>
    <t>BANDE DE CHANT</t>
  </si>
  <si>
    <t>bande de chant blanc 43*2 43mm x 2mm</t>
  </si>
  <si>
    <t>PARATHANE MAT (0,15 X 50 M)</t>
  </si>
  <si>
    <t>MCBE0234</t>
  </si>
  <si>
    <t>chevron sapin 63x75 - au m</t>
  </si>
  <si>
    <t>chevron sapin/epicea trcl2 63x88 4m - au m</t>
  </si>
  <si>
    <t>MCBE0235</t>
  </si>
  <si>
    <t>chevron sapin 63x88 - au m</t>
  </si>
  <si>
    <t>chevron sapin/epicea trcl2 63x90 4m - au m</t>
  </si>
  <si>
    <t>MCBE0236</t>
  </si>
  <si>
    <t>chevron sapin 63x90 - au m</t>
  </si>
  <si>
    <t>MCBE0250</t>
  </si>
  <si>
    <t>liteau sapin 25x27 - au m</t>
  </si>
  <si>
    <t>liteau sapin 25x32 - au m</t>
  </si>
  <si>
    <t>liteau sapin 25x38 - au m</t>
  </si>
  <si>
    <t>panneau sandwich</t>
  </si>
  <si>
    <t xml:space="preserve">PANNEAU SANDWICH 40 MM LONGUEUR 5.60 ML </t>
  </si>
  <si>
    <t>M2</t>
  </si>
  <si>
    <t>MCBE0238</t>
  </si>
  <si>
    <t>CP</t>
  </si>
  <si>
    <t>cp asie twin wbp 250x122 18mm - au m2</t>
  </si>
  <si>
    <t>M²</t>
  </si>
  <si>
    <t>MCBE0237</t>
  </si>
  <si>
    <t>cp asie twin wbp 250x122 15mm - au m2</t>
  </si>
  <si>
    <t>MCBE0259</t>
  </si>
  <si>
    <t>OSB</t>
  </si>
  <si>
    <t>dalle osb3 200x90 ep 16mm - au m2</t>
  </si>
  <si>
    <t>MCBE0260</t>
  </si>
  <si>
    <t>dalle osb3 250x62,5 ep 22mm - au m2</t>
  </si>
  <si>
    <t>cp film primo peup asie 250x125 18mm - au m2</t>
  </si>
  <si>
    <t>cp film primo peup asie 250x125 15mm - au m2</t>
  </si>
  <si>
    <t>cp asie twin wbp 250x122 10mm - au m2</t>
  </si>
  <si>
    <t>cp twin okoume 2/3 250x122 10 mm - au m2</t>
  </si>
  <si>
    <t>cp twin okoume 2/3 250x122 15 mm - au m2</t>
  </si>
  <si>
    <t>cp twin okoume 2/3 250x122 18 mm - au m2</t>
  </si>
  <si>
    <t>cp twin okoume 2/3 250x122 22 mm - au m2</t>
  </si>
  <si>
    <t>PANNEAUX MELAMINES</t>
  </si>
  <si>
    <t>melaminé blanc w980 - 19mm 2800x2070</t>
  </si>
  <si>
    <t>melaminé blanc hydro w980 - 19mm 2800x2070</t>
  </si>
  <si>
    <t>melaminé blanc hydro w980 - 16mm 2800x2070</t>
  </si>
  <si>
    <t>PANNEAUX MDF</t>
  </si>
  <si>
    <t>medium  9mm 3050x1220</t>
  </si>
  <si>
    <t>medium 12mm 3050x1220</t>
  </si>
  <si>
    <t>medium 15mm 3050x1220</t>
  </si>
  <si>
    <t>medium 18mm 3050x1220</t>
  </si>
  <si>
    <t>medium 22mm 3050x1220</t>
  </si>
  <si>
    <t>medium 38mm 3050x1220</t>
  </si>
  <si>
    <t>medium 18 mm 3050x1220</t>
  </si>
  <si>
    <t>medium hydro 9mm 3050x1220</t>
  </si>
  <si>
    <t>medium hydro 12mm 3050x1220</t>
  </si>
  <si>
    <t>medium hydro 15mm 3050x1220</t>
  </si>
  <si>
    <t>medium hydro 18mm 3050x1220</t>
  </si>
  <si>
    <t>medium hydro 22mm 3050x1220</t>
  </si>
  <si>
    <t>medium hydro 38mm 3050x1220</t>
  </si>
  <si>
    <t>medium noir t 18 mm 3050x1220</t>
  </si>
  <si>
    <t>PANNEAUX STRATIFIES</t>
  </si>
  <si>
    <t>stratifié blanc w980 0,8mm 3050*1310</t>
  </si>
  <si>
    <t>contrebalancement blanc 8/10 3050*1310</t>
  </si>
  <si>
    <t>BICOUCHE SUPPORT BETON ISOLANT PSE/POLYURETHANE</t>
  </si>
  <si>
    <t>PARADIENE 40.1 GS ANTHRACITE 6M</t>
  </si>
  <si>
    <t>PARADIENE FM 7,50 M</t>
  </si>
  <si>
    <t>bande de chant blanc 23*0,8 23mm x 0,8mm</t>
  </si>
  <si>
    <t>UNITE</t>
  </si>
  <si>
    <t>PARACIER G ANTHRACITE 6M</t>
  </si>
  <si>
    <t>PARACIER G VV 100G GRIS CLAIR</t>
  </si>
  <si>
    <t xml:space="preserve">CARRELET </t>
  </si>
  <si>
    <t>carrelet 3 plis hetre  63x125 63x125x6m</t>
  </si>
  <si>
    <t>carrelet lca  pin 63x125 63x125x6m</t>
  </si>
  <si>
    <t>carrelet lca  pin 63x86 63x86x6m</t>
  </si>
  <si>
    <t>carrelet lca  pin 63x95 63x95x6m</t>
  </si>
  <si>
    <t>OSSATURE BOIS</t>
  </si>
  <si>
    <t>bois d'ossture sapin cl 2 45x95 6m</t>
  </si>
  <si>
    <t>bois d'ossature sapin cl2 38x38 5m</t>
  </si>
  <si>
    <t>PANNEAUX LAMELE COLLE</t>
  </si>
  <si>
    <t>hévea 18mm 4500x1100</t>
  </si>
  <si>
    <t>hévea 44mm 4500x1100</t>
  </si>
  <si>
    <t xml:space="preserve">PANNEAUX MDF GREEN </t>
  </si>
  <si>
    <t>green panel 38mm 2850x2100</t>
  </si>
  <si>
    <t>IREX PROFIL 6,5M</t>
  </si>
  <si>
    <t>MONOCOUCHE ACIER</t>
  </si>
  <si>
    <t>ADESOLO G ANTHRACITE 7M</t>
  </si>
  <si>
    <t>BI COUCHES JARDIN</t>
  </si>
  <si>
    <t>PREFLEX 6.5M</t>
  </si>
  <si>
    <t>GRAVIFLEX 5M</t>
  </si>
  <si>
    <t>BI COUCHES ET MONOCOUCHE SOUS GRAVILLONS /DALLES SUR PLOTS</t>
  </si>
  <si>
    <t>PARADIENE 35 S R4 5M</t>
  </si>
  <si>
    <t>TERANAP BANDE COUVRE-JOINT 200</t>
  </si>
  <si>
    <t>TERANAP JS 1X8M FILM/FILM</t>
  </si>
  <si>
    <t>MCBE0229</t>
  </si>
  <si>
    <t>bastaing coffrage sapin ch4 63x175 3m - au m3</t>
  </si>
  <si>
    <t>M3</t>
  </si>
  <si>
    <t>bastaing coffrage sapin ch4 63x175 4m - au m3</t>
  </si>
  <si>
    <t>planche coffrage sapin 27x150 4m - au m3</t>
  </si>
  <si>
    <t xml:space="preserve">planche de coffrage 21 toute largeur </t>
  </si>
  <si>
    <t xml:space="preserve">planche de coffrage 25 toute largeur </t>
  </si>
  <si>
    <t xml:space="preserve">planche de coffrage 32 toute largeur </t>
  </si>
  <si>
    <t xml:space="preserve">planche de coffrage 38 toute largeur </t>
  </si>
  <si>
    <t>planche coffrage sapin 27x200 4m - au m3</t>
  </si>
  <si>
    <t>Joint debout</t>
  </si>
  <si>
    <t>Joint debout zinc quartz 0,70 dev=500 lg&lt;6m</t>
  </si>
  <si>
    <t>Joint debout zinc nat 0,65 dev=500 lg&lt;6m</t>
  </si>
  <si>
    <t>Joint debout zinc quartz 0,65 dev=500 lg&lt;6m</t>
  </si>
  <si>
    <t>Joint debout zinc quartz 0,65 dev=650 lg&lt;6m</t>
  </si>
  <si>
    <t>Joint debout zinc quartz 0,70 dev= 650 lg&lt;6m</t>
  </si>
  <si>
    <t>Joint debout zinc nat 0,80 dev=500 lg&lt;6m</t>
  </si>
  <si>
    <t>Tuile tempête 44 - Amarante</t>
  </si>
  <si>
    <t>Tuile tempête 44 - Rustique</t>
  </si>
  <si>
    <t>Tuile Terroise - Flamme rustique</t>
  </si>
  <si>
    <t>Bande  a rabattre</t>
  </si>
  <si>
    <t>bande a rabattre zinc ardoise dev.66 mm ep.0,65 mm lg.2 ml</t>
  </si>
  <si>
    <t>Bande d'astragale</t>
  </si>
  <si>
    <t>Bande d'astragale zinc naturel  dev.250 mm  b14 - lg.2 ml ep.0,65 mm</t>
  </si>
  <si>
    <t>Bande ourlet zinc quartz 250 largeur ep. 0,65 mm</t>
  </si>
  <si>
    <t>Bande ourlet zinc naturel 250 largeur ep. 0,65 mm</t>
  </si>
  <si>
    <t>bobine zinc</t>
  </si>
  <si>
    <t>Bobine zinc blanc prélaqué 500 largeur ep0,70 mm 500 kg.</t>
  </si>
  <si>
    <t>Bobine zinc gris  prélaqué 500 largeur ep0,70 mm 500 kg.</t>
  </si>
  <si>
    <t>Bobine zinc pigmento</t>
  </si>
  <si>
    <t>Bobineau de Zinc Pigmento Vert Lichen (épaisseur 0,70) 100kg</t>
  </si>
  <si>
    <t>Bobineau de Zinc Pigmento Brun Écorce (épaisseur 0,70) 100kg</t>
  </si>
  <si>
    <t>Bobineau de Zinc Pigmento Rouge Terre (épaisseur 0,70) 100kg</t>
  </si>
  <si>
    <t>Bobineau de zinc VM</t>
  </si>
  <si>
    <t>Bobineau de Zinc VM Naturel (épaisseur 0,65) 100kg</t>
  </si>
  <si>
    <t>Bobineau de Zinc VM Naturel (épaisseur 0,80) 100kg</t>
  </si>
  <si>
    <t>Bobineau de Zinc blanc prefalz (épaisseur 0,70) 500kg</t>
  </si>
  <si>
    <t>Bobineau de Zinc gris souris prefalz (épaisseur 0,70) 60kg</t>
  </si>
  <si>
    <t xml:space="preserve">Feuille de zinc </t>
  </si>
  <si>
    <t>Feuille de Zinc Quartz (épaisseur 0,70)</t>
  </si>
  <si>
    <t>couvre joint standard zinc naturel 0.65 x 100 x 2000</t>
  </si>
  <si>
    <t xml:space="preserve">couvre joint zinc quartz  120/140  ep 0.65  </t>
  </si>
  <si>
    <t xml:space="preserve">couvre joint zinc  naturel  120/140  ep 0.65 </t>
  </si>
  <si>
    <t>couvre joint zinc quartz 0.65 x 166 x 2000</t>
  </si>
  <si>
    <t>MCBE0318</t>
  </si>
  <si>
    <t xml:space="preserve">Rivnet 35/80 Alu Brut ML 3ml </t>
  </si>
  <si>
    <t>Feuille de Zinc Quartz (épaisseur 0,65)</t>
  </si>
  <si>
    <t>Feuille de zinc pigmento</t>
  </si>
  <si>
    <t>Feuille de Zinc Pigmento Rouge Terre (épaisseur 0,70)</t>
  </si>
  <si>
    <t>Feuille de Zinc Pigmento Brun Écorce (épaisseur 0,70)</t>
  </si>
  <si>
    <t>Feuille de Zinc Pigmento Vert Lichen (épaisseur 0,70)</t>
  </si>
  <si>
    <t>Feuille de zinc VM</t>
  </si>
  <si>
    <t>Feuille de Zinc VM Naturel (épaisseur 0,65)</t>
  </si>
  <si>
    <t>MCBE0200</t>
  </si>
  <si>
    <t>MCBE0321</t>
  </si>
  <si>
    <t>Angle Sortant Soleco 15/40</t>
  </si>
  <si>
    <t>MCBE0331</t>
  </si>
  <si>
    <t>Angle Rentrant Soleco 15/40</t>
  </si>
  <si>
    <t>MCBE0370</t>
  </si>
  <si>
    <t>Set manche pour chalumeau avec tuyau pré-monté et détendeur</t>
  </si>
  <si>
    <t>MCBE0476</t>
  </si>
  <si>
    <t>Ecran de sous-toiture HPVR2</t>
  </si>
  <si>
    <t>RLX</t>
  </si>
  <si>
    <t>Ecran sous toiture irondel  HPV 150</t>
  </si>
  <si>
    <t>Ecran sous toiture St Delta Trela 30x1,5M</t>
  </si>
  <si>
    <t>Ecran sous toiture Air R2 HPV 1,5x50M</t>
  </si>
  <si>
    <t>Ecran sous toiture 200 1,5x50M</t>
  </si>
  <si>
    <t>Lisse tubulaire</t>
  </si>
  <si>
    <t>Lisse tubulaire dia 34 1,62ml galva</t>
  </si>
  <si>
    <t>Lisse tubulaire dia 34 3,25 ml</t>
  </si>
  <si>
    <t>potelet d'ancrage individuel ( pvc/bitume)</t>
  </si>
  <si>
    <t xml:space="preserve">Potelet 30*30 porte-lisse/filet </t>
  </si>
  <si>
    <t>Support</t>
  </si>
  <si>
    <t>Support Acier / Béton  Z250 avec crochet</t>
  </si>
  <si>
    <t>Support de potelet en Z rallonge + accroche filet</t>
  </si>
  <si>
    <t>MCBE0204</t>
  </si>
  <si>
    <t>Mastic silicone translucide 310 ml</t>
  </si>
  <si>
    <t xml:space="preserve">Mastic silicone gris AM 85-1 310 ml </t>
  </si>
  <si>
    <t xml:space="preserve">Bombe aerosol -  RAL 9006  400 ml </t>
  </si>
  <si>
    <t>Résistit G SK Mastic 290 ml</t>
  </si>
  <si>
    <t>Mastic-colle polyuréthane Sikaflex PRO 11 FC gris  300 ml  ( formaiton obligatoire)</t>
  </si>
  <si>
    <t>Mastic colle transparent  Parabond 290 ml</t>
  </si>
  <si>
    <t xml:space="preserve">Mastic silicone AM 85-1 RAL 9006  310 ml </t>
  </si>
  <si>
    <t xml:space="preserve">Colle universelle STAR 12 kg </t>
  </si>
  <si>
    <t>Mastic Résistit G SK 290 ml</t>
  </si>
  <si>
    <t>Silicone neutre PENOSIL  Translucide  300 ml</t>
  </si>
  <si>
    <t>Colle polyuréthane Alkorplus Jaune translucide 6 kg ( formation obligatoire)</t>
  </si>
  <si>
    <t>Mastic silicone alcoxy Transparent 300 ml</t>
  </si>
  <si>
    <t>Mastic d’étanchéité DERBISEAL Noir 25 kg</t>
  </si>
  <si>
    <t>Résistit G SK Mastic en rouleau 0,75 x 20 ml</t>
  </si>
  <si>
    <t>Colle mousse polyuréthane SOUDATHERM ROOF 330  10,4 kg ( formation obligatoire)</t>
  </si>
  <si>
    <t>MCBE0209</t>
  </si>
  <si>
    <t>MCBE0211</t>
  </si>
  <si>
    <t>Fongicide DALEP 2100 20L</t>
  </si>
  <si>
    <t>Revêtement d'étanchéité FILLCOAT 5 L - gris foncé</t>
  </si>
  <si>
    <t>1 Bidon</t>
  </si>
  <si>
    <t>liquide</t>
  </si>
  <si>
    <t>Liquide pour générateur de fumée 5 L</t>
  </si>
  <si>
    <t>Mariseal 1 kg – Gris</t>
  </si>
  <si>
    <t>Mariseal 6 kg – Noir</t>
  </si>
  <si>
    <t>chiffon</t>
  </si>
  <si>
    <t>Lot Chiffon d'essuyage 1kg</t>
  </si>
  <si>
    <t>Colle Flag Flexocol A89 12 L</t>
  </si>
  <si>
    <t>Pâte décapante</t>
  </si>
  <si>
    <t>Pâte décapante / pré-étamage – Pot 100 g</t>
  </si>
  <si>
    <t>Décapantsoudo-brasage Zinc Naturel 1 L</t>
  </si>
  <si>
    <t>Traitement DALEP PE  30 L</t>
  </si>
  <si>
    <t>MCBE0401</t>
  </si>
  <si>
    <t>ACIER</t>
  </si>
  <si>
    <t>Feuille</t>
  </si>
  <si>
    <t>Feuille de tôle acier laquée profil JI45 RAL 7016 75/100 – 3 m</t>
  </si>
  <si>
    <t>Feuille de tôle acier laquée profil JI45 Anthracite 63/100 –4 m</t>
  </si>
  <si>
    <t>Feuille de tôle plane acier galvanisé Z275  0,75 mm  1001/1250</t>
  </si>
  <si>
    <t>Feuille de tôle plane acier galvanisé Z275 Ép. 1 mm 51/100</t>
  </si>
  <si>
    <t>Feuille de tôle plane acier galvanisé Z275 1,5 mm 201/250</t>
  </si>
  <si>
    <t>Feuille de tôle plane acier galvanisé Z275 2 mm 1001/1250</t>
  </si>
  <si>
    <t>Feuille de tôle plane acier galvanisé laqué RAL 9010  0,75 mm 815/704</t>
  </si>
  <si>
    <t>Feuille de tôle plane acier galvanisé laqué RAL 9010  0,75 mm 611/704</t>
  </si>
  <si>
    <t>Feuille de tôle plane acier galvanisé laqué RAL 7022 0,75 mm 56/110</t>
  </si>
  <si>
    <t>Feuille de tôle plane acier galvanisé laqué RAL 8014  0,75mm</t>
  </si>
  <si>
    <t>Bobineau</t>
  </si>
  <si>
    <t>Bobineau acier galvanisé laqué RAL 8014 – Ép. 0,75 mm</t>
  </si>
  <si>
    <t xml:space="preserve">Feuille de tôle plane acier galvanisé laqué 0,75 mm 407/509 </t>
  </si>
  <si>
    <t>Bobine PLX RR287 Quarry grey 1 kg</t>
  </si>
  <si>
    <t>Feuille d’acier prélaqué PLX RR41 Metallic Dark Silver 0,6 mm 1kg</t>
  </si>
  <si>
    <t>Feuille de tôle perforée galvanisée R4T5 10/10 3,35 kg/m²</t>
  </si>
  <si>
    <t>Feuille de tôle plane acier galvanisé Z275 1 mm 417/500</t>
  </si>
  <si>
    <t>PLOMB</t>
  </si>
  <si>
    <t>Bande de plomb</t>
  </si>
  <si>
    <t>Bande de plomb laminé – 10 m x 200 mm – Épaisseur 1,25 mm</t>
  </si>
  <si>
    <t>100kg</t>
  </si>
  <si>
    <t>Rouleau de plomb</t>
  </si>
  <si>
    <t>Rouleau de plomb lisse  10 m</t>
  </si>
  <si>
    <t>Bande de plomb 10M x 300 mm Épaisseur 1,25 mm</t>
  </si>
  <si>
    <t>Bande de plomb 10M x 250 mm – Épaisseur 1,25 mm</t>
  </si>
  <si>
    <t>Bande de plomb 10M x 160 mm – Épaisseur 1,25 mm</t>
  </si>
  <si>
    <t>Bande de plomb 10M x 160 mm – Épaisseur 1 mm</t>
  </si>
  <si>
    <t>Feuille de Zinc VM Naturel (épaisseur 0,80)</t>
  </si>
  <si>
    <t>Contacts &amp; Conditions commerciales d'application du tarif</t>
  </si>
  <si>
    <t>Contact Ramery - Entyté Achats</t>
  </si>
  <si>
    <t>Zakia</t>
  </si>
  <si>
    <t>Djerane</t>
  </si>
  <si>
    <t>06 42 03 04 84</t>
  </si>
  <si>
    <t>zdjerane@ramery.fr</t>
  </si>
  <si>
    <t>Contact Fournisseur</t>
  </si>
  <si>
    <t>Valery</t>
  </si>
  <si>
    <t>Denoyelles</t>
  </si>
  <si>
    <t>06 31 22 33 37</t>
  </si>
  <si>
    <t>valery.denoyelles@altema.pro</t>
  </si>
  <si>
    <t>Délai de livraison</t>
  </si>
  <si>
    <t>48h</t>
  </si>
  <si>
    <t>Frais de port</t>
  </si>
  <si>
    <t>FRANCO</t>
  </si>
  <si>
    <t>Reprise</t>
  </si>
  <si>
    <t>Les articles non consommés, en bon état et stockés au dépôt peuvent être repris, sur présentation d’un bon de reprise ou de la facture. Les frais de retour sont à convenir au cas par 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</si>
</sst>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0#&quot; &quot;##&quot; &quot;##&quot; &quot;##&quot; &quot;##"/>
  </numFmts>
  <fonts count="1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4383"/>
      <name val="Calibri"/>
      <family val="2"/>
      <scheme val="minor"/>
    </font>
    <font>
      <sz val="11"/>
      <color rgb="FFD92026"/>
      <name val="Calibri"/>
      <family val="2"/>
      <scheme val="minor"/>
    </font>
    <font>
      <b/>
      <sz val="11"/>
      <color rgb="FFD92026"/>
      <name val="Calibri"/>
      <family val="2"/>
      <scheme val="minor"/>
    </font>
    <font>
      <sz val="11"/>
      <color rgb="FF004383"/>
      <name val="Calibri"/>
      <family val="2"/>
      <scheme val="minor"/>
    </font>
    <font>
      <i/>
      <sz val="11"/>
      <color rgb="FF004383"/>
      <name val="Calibri"/>
      <family val="2"/>
      <scheme val="minor"/>
    </font>
    <font>
      <sz val="9"/>
      <color rgb="FF00438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5EBF2"/>
        <bgColor indexed="64"/>
      </patternFill>
    </fill>
    <fill>
      <patternFill patternType="solid">
        <fgColor rgb="FFF9DCCF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9" fillId="0" borderId="0" applyNumberFormat="0" applyFill="0" applyBorder="0" applyAlignment="0" applyProtection="0"/>
    <xf numFmtId="44" fontId="10" fillId="0" borderId="0" applyFont="0" applyFill="0" applyBorder="0" applyAlignment="0" applyProtection="0"/>
    <xf numFmtId="0" fontId="10" fillId="0" borderId="0"/>
  </cellStyleXfs>
  <cellXfs count="8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49" fontId="0" fillId="0" borderId="1" xfId="0" applyNumberFormat="1" applyBorder="1"/>
    <xf numFmtId="0" fontId="1" fillId="0" borderId="0" xfId="0" applyFont="1" applyAlignment="1">
      <alignment horizontal="right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3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3" fontId="6" fillId="2" borderId="1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right"/>
    </xf>
    <xf numFmtId="0" fontId="6" fillId="3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4" borderId="0" xfId="0" applyFill="1"/>
    <xf numFmtId="1" fontId="6" fillId="2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top" wrapText="1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wrapText="1"/>
    </xf>
    <xf numFmtId="44" fontId="0" fillId="0" borderId="1" xfId="2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top" wrapText="1"/>
    </xf>
    <xf numFmtId="0" fontId="0" fillId="0" borderId="5" xfId="0" applyBorder="1" applyAlignment="1">
      <alignment horizontal="right"/>
    </xf>
    <xf numFmtId="0" fontId="0" fillId="0" borderId="2" xfId="0" applyBorder="1" applyAlignment="1">
      <alignment horizontal="right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/>
    </xf>
    <xf numFmtId="1" fontId="6" fillId="2" borderId="1" xfId="0" applyNumberFormat="1" applyFont="1" applyFill="1" applyBorder="1" applyAlignment="1">
      <alignment horizontal="center" vertical="center"/>
    </xf>
    <xf numFmtId="44" fontId="0" fillId="0" borderId="0" xfId="2" applyFont="1"/>
    <xf numFmtId="44" fontId="6" fillId="0" borderId="0" xfId="2" applyFont="1" applyAlignment="1">
      <alignment horizontal="center" vertical="center"/>
    </xf>
    <xf numFmtId="0" fontId="0" fillId="4" borderId="0" xfId="0" applyFill="1" applyAlignment="1">
      <alignment horizontal="center"/>
    </xf>
    <xf numFmtId="0" fontId="7" fillId="2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/>
    </xf>
    <xf numFmtId="44" fontId="0" fillId="0" borderId="0" xfId="2" applyFont="1" applyAlignment="1">
      <alignment horizontal="center"/>
    </xf>
    <xf numFmtId="44" fontId="6" fillId="3" borderId="1" xfId="2" applyFont="1" applyFill="1" applyBorder="1" applyAlignment="1">
      <alignment horizontal="left" vertical="top" wrapText="1"/>
    </xf>
    <xf numFmtId="44" fontId="6" fillId="3" borderId="1" xfId="2" applyFont="1" applyFill="1" applyBorder="1" applyAlignment="1">
      <alignment horizontal="center" vertical="top" wrapText="1"/>
    </xf>
    <xf numFmtId="44" fontId="8" fillId="2" borderId="1" xfId="2" applyFont="1" applyFill="1" applyBorder="1" applyAlignment="1">
      <alignment horizontal="left" vertical="top" wrapText="1"/>
    </xf>
    <xf numFmtId="44" fontId="6" fillId="2" borderId="1" xfId="2" applyFont="1" applyFill="1" applyBorder="1" applyAlignment="1">
      <alignment horizontal="center" vertical="top" wrapText="1"/>
    </xf>
    <xf numFmtId="44" fontId="0" fillId="0" borderId="1" xfId="2" applyFont="1" applyFill="1" applyBorder="1" applyAlignment="1">
      <alignment horizontal="center"/>
    </xf>
    <xf numFmtId="44" fontId="0" fillId="0" borderId="1" xfId="2" applyFont="1" applyFill="1" applyBorder="1"/>
    <xf numFmtId="44" fontId="0" fillId="0" borderId="1" xfId="2" applyFont="1" applyFill="1" applyBorder="1" applyAlignment="1">
      <alignment horizontal="right"/>
    </xf>
    <xf numFmtId="44" fontId="0" fillId="0" borderId="1" xfId="2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1" fontId="6" fillId="0" borderId="1" xfId="0" applyNumberFormat="1" applyFont="1" applyBorder="1" applyAlignment="1">
      <alignment horizontal="right" vertical="center"/>
    </xf>
    <xf numFmtId="3" fontId="0" fillId="0" borderId="0" xfId="0" applyNumberFormat="1" applyAlignment="1">
      <alignment horizontal="right"/>
    </xf>
    <xf numFmtId="0" fontId="0" fillId="0" borderId="1" xfId="0" applyBorder="1" applyAlignment="1" applyProtection="1">
      <alignment horizontal="center"/>
      <protection locked="0"/>
    </xf>
    <xf numFmtId="0" fontId="9" fillId="0" borderId="1" xfId="1" applyBorder="1" applyAlignment="1">
      <alignment horizontal="center"/>
    </xf>
    <xf numFmtId="0" fontId="9" fillId="0" borderId="1" xfId="1" applyBorder="1" applyAlignment="1">
      <alignment horizontal="center" wrapText="1"/>
    </xf>
    <xf numFmtId="164" fontId="9" fillId="0" borderId="1" xfId="1" applyNumberFormat="1" applyBorder="1" applyAlignment="1" applyProtection="1">
      <alignment horizontal="center" wrapText="1"/>
      <protection locked="0"/>
    </xf>
    <xf numFmtId="0" fontId="0" fillId="0" borderId="0" xfId="0" applyAlignment="1">
      <alignment horizontal="left" vertical="center"/>
    </xf>
    <xf numFmtId="0" fontId="0" fillId="0" borderId="1" xfId="2" applyNumberFormat="1" applyFont="1" applyFill="1" applyBorder="1" applyAlignment="1">
      <alignment horizontal="center"/>
    </xf>
    <xf numFmtId="0" fontId="0" fillId="0" borderId="1" xfId="2" applyNumberFormat="1" applyFont="1" applyBorder="1" applyAlignment="1">
      <alignment horizontal="center"/>
    </xf>
    <xf numFmtId="0" fontId="0" fillId="0" borderId="0" xfId="2" applyNumberFormat="1" applyFont="1" applyAlignment="1">
      <alignment horizontal="center"/>
    </xf>
    <xf numFmtId="44" fontId="0" fillId="4" borderId="1" xfId="2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44" fontId="6" fillId="2" borderId="3" xfId="2" applyFont="1" applyFill="1" applyBorder="1" applyAlignment="1">
      <alignment horizontal="center" vertical="top" wrapText="1"/>
    </xf>
    <xf numFmtId="44" fontId="6" fillId="2" borderId="2" xfId="2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4">
    <cellStyle name="Lien hypertexte" xfId="1" builtinId="8"/>
    <cellStyle name="Monétaire" xfId="2" builtinId="4"/>
    <cellStyle name="Normal" xfId="0" builtinId="0"/>
    <cellStyle name="Normal 5" xfId="3" xr:uid="{E65FEE16-12C1-45F5-B28F-3CC58C9DFE28}"/>
  </cellStyles>
  <dxfs count="19">
    <dxf>
      <font>
        <color rgb="FFD92026"/>
      </font>
      <fill>
        <patternFill>
          <bgColor rgb="FFF9DCC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D92026"/>
      </font>
      <fill>
        <patternFill>
          <bgColor rgb="FFF9DCC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5EBF2"/>
      <color rgb="FFF9DCCF"/>
      <color rgb="FFFFCCFF"/>
      <color rgb="FF004383"/>
      <color rgb="FFD92026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365</xdr:colOff>
      <xdr:row>1</xdr:row>
      <xdr:rowOff>94044</xdr:rowOff>
    </xdr:from>
    <xdr:to>
      <xdr:col>0</xdr:col>
      <xdr:colOff>1317427</xdr:colOff>
      <xdr:row>5</xdr:row>
      <xdr:rowOff>127231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8072E66-361A-4708-B0C2-1B8AA02AD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" y="288354"/>
          <a:ext cx="1336112" cy="78131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365</xdr:colOff>
      <xdr:row>1</xdr:row>
      <xdr:rowOff>94044</xdr:rowOff>
    </xdr:from>
    <xdr:to>
      <xdr:col>0</xdr:col>
      <xdr:colOff>1336477</xdr:colOff>
      <xdr:row>5</xdr:row>
      <xdr:rowOff>117164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C397373-BFB6-4A4B-843F-4E7AD2FEA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" y="288354"/>
          <a:ext cx="1336112" cy="78131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95246</xdr:rowOff>
    </xdr:from>
    <xdr:to>
      <xdr:col>0</xdr:col>
      <xdr:colOff>1343732</xdr:colOff>
      <xdr:row>5</xdr:row>
      <xdr:rowOff>120271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6291B2B-F22C-4A1B-97F3-D7FED608B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46"/>
          <a:ext cx="1343732" cy="7870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UR-AWL%20fr-ADMIN\Green%20Square\PURCHASING%20STATS\2012-03\Purch_KPIs_201204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amery.sharepoint.com/S109.Achats/S109O.Responsable%20de%20P&#233;rim&#232;tre/Fournisseurs%20et%20march&#233;s%20suivis/Liste%20frs%20et%20march&#233;s%20suivis%20V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S109.Achats\S109V.Zakia%20DJERANE\FAMILLES%20D'ACHAT\DISTRIBUTION\AO%202024\APOK\Offre%20APOK%20V1.xlsx" TargetMode="External"/><Relationship Id="rId1" Type="http://schemas.openxmlformats.org/officeDocument/2006/relationships/externalLinkPath" Target="https://ramery.sharepoint.com/S109.Achats/S109V.Zakia%20DJERANE/FAMILLES%20D'ACHAT/DISTRIBUTION/AO%202024/APOK/Offre%20APOK%20V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amery.sharepoint.com/S109.Achats/S109D.TDB/2019/TDB%20Achats%202019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amery.sharepoint.com/S109.Achats/S109D.TDB/Fichier%20de%20travail/TDB%20Achats%202019%20-%20Direct%20Indirect%20V2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-ramery.fr\dfs_000\S109.Achats\S109O.Responsable%20de%20P&#233;rim&#232;tre\BUSINESS%20PLAN%202020%20GLOBAL%20v2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CA-JEXP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incic-my.sharepoint.com/Users/hubert.guyon-veuille/AppData/Local/Microsoft/Windows/INetCache/Content.Outlook/4MZ7CESQ/Import%20Articles-V8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amery-my.sharepoint.com/personal/cgoncalves_ramery_fr/Documents/CELIA%20GONCALVES/Mat&#233;riaux%20CBE/Grille%20tarifaire%20type%20distribution%20SIPLAST.xlsx" TargetMode="External"/><Relationship Id="rId1" Type="http://schemas.openxmlformats.org/officeDocument/2006/relationships/externalLinkPath" Target="https://ramery-my.sharepoint.com/personal/cgoncalves_ramery_fr/Documents/CELIA%20GONCALVES/Mat&#233;riaux%20CBE/Grille%20tarifaire%20type%20distribution%20SIPLAST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goncalves\AppData\Local\Microsoft\Windows\INetCache\Content.Outlook\0VEP1A3S\Grille%20tarifaire%20type%20distribution%20SIPLAST.xlsx" TargetMode="External"/><Relationship Id="rId1" Type="http://schemas.openxmlformats.org/officeDocument/2006/relationships/externalLinkPath" Target="file:///C:\Users\cgoncalves\AppData\Local\Microsoft\Windows\INetCache\Content.Outlook\0VEP1A3S\Grille%20tarifaire%20type%20distribution%20SIPLAST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S109.Achats\S109A.Commun\Materiaux%20CBE\TARIF\Materiaux%20de%20couverture%20bardage%20COMPARO.xlsx" TargetMode="External"/><Relationship Id="rId1" Type="http://schemas.openxmlformats.org/officeDocument/2006/relationships/externalLinkPath" Target="https://ramery.sharepoint.com/S109.Achats/S109A.Commun/Materiaux%20CBE/TARIF/Materiaux%20de%20couverture%20bardage%20COMPA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l"/>
      <sheetName val="H"/>
      <sheetName val="OWBS"/>
      <sheetName val="PORTAIL"/>
      <sheetName val="LBL"/>
      <sheetName val="KPI01_m"/>
      <sheetName val="KPI01_mc"/>
      <sheetName val="KPI01_e"/>
      <sheetName val="KPI01_er"/>
      <sheetName val="KPI01_ec"/>
      <sheetName val="KPI01_y"/>
      <sheetName val="KPI01_yc"/>
      <sheetName val="KPI02_m"/>
      <sheetName val="KPI02_e#"/>
      <sheetName val="KPI02_e€"/>
      <sheetName val="KPI02_e(€)"/>
      <sheetName val="KPI02_y"/>
      <sheetName val="KPI03_m"/>
      <sheetName val="KPI03_e#"/>
      <sheetName val="KPI03_e€"/>
      <sheetName val="KPI03_e(€)"/>
      <sheetName val="KPI03_y"/>
      <sheetName val="KPI04_m"/>
      <sheetName val="KPI04_e#"/>
      <sheetName val="KPI04_e€"/>
      <sheetName val="KPI04_e(€)"/>
      <sheetName val="KPI04_y"/>
      <sheetName val="KPI05_m#"/>
      <sheetName val="KPI05_m€"/>
      <sheetName val="KPI05_y#"/>
      <sheetName val="KPI05_y€"/>
      <sheetName val="KPI06_eFRS"/>
      <sheetName val="KPI06_eFRSc"/>
      <sheetName val="KPI07_m#"/>
      <sheetName val="KPI07_m€"/>
      <sheetName val="KPI07_eFRS"/>
      <sheetName val="KPI07_eFRSc"/>
      <sheetName val="KPI07_y#"/>
      <sheetName val="KPI07_y€"/>
      <sheetName val="KPI08_m#"/>
      <sheetName val="KPI08_eFRS"/>
      <sheetName val="KPI08_y#"/>
      <sheetName val="KPI09_m#"/>
      <sheetName val="KPI09_eFRS"/>
      <sheetName val="KPI10_m#"/>
      <sheetName val="KPI10_eFRS"/>
      <sheetName val="TCD_CFRS"/>
      <sheetName val="TCD_CFRS2"/>
      <sheetName val="TCD_FRS"/>
      <sheetName val="TCD_P001"/>
      <sheetName val="TCD_P001b"/>
      <sheetName val="TCD_P002"/>
      <sheetName val="TCD_P003"/>
      <sheetName val="TCD_P004"/>
      <sheetName val="TCD_P005m#"/>
      <sheetName val="TCD_P005m#c"/>
      <sheetName val="TCD_P005m€"/>
      <sheetName val="TCD_P005y#"/>
      <sheetName val="TCD_P005y€"/>
      <sheetName val="TCD_P007m#"/>
      <sheetName val="TCD_P007m#c"/>
      <sheetName val="TCD_P007m€"/>
      <sheetName val="TCD_P007y#"/>
      <sheetName val="TCD_P007y€"/>
      <sheetName val="TCD_P008m#"/>
      <sheetName val="TCD_P008m#j"/>
      <sheetName val="TCD_P008y#"/>
      <sheetName val="TCD_P008y#j"/>
      <sheetName val="TCD_P009m_data1"/>
      <sheetName val="TCD_P009m_data2"/>
      <sheetName val="TCD_P009m_data3"/>
      <sheetName val="TCD_P009m"/>
      <sheetName val="TCD_P009y_data1"/>
      <sheetName val="TCD_P009y"/>
      <sheetName val="TCD_P010m_data1"/>
      <sheetName val="TCD_P010m_data2"/>
      <sheetName val="TCD_P010m_data3"/>
      <sheetName val="TCD_P010m"/>
      <sheetName val="LG"/>
      <sheetName val="_KPI04bn"/>
      <sheetName val="_KPI05a1"/>
      <sheetName val="_KPI05a2"/>
      <sheetName val="_KPI05b1"/>
      <sheetName val="_KPI05b2"/>
      <sheetName val="_KPI05c1"/>
      <sheetName val="_KPI05c2"/>
      <sheetName val="_KPI05d1"/>
      <sheetName val="_KPI05d2"/>
      <sheetName val="_KPI05e1"/>
      <sheetName val="_KPI05e2"/>
      <sheetName val="_KPI05f1"/>
      <sheetName val="_KPI05f2"/>
      <sheetName val="_KPI05g1"/>
      <sheetName val="_KPI05g2"/>
      <sheetName val="_KPI06a1"/>
      <sheetName val="_KPI06a2"/>
      <sheetName val="_KPI06b1"/>
      <sheetName val="_KPI06b2"/>
      <sheetName val="_KPI06c1"/>
      <sheetName val="_KPI06c2"/>
      <sheetName val="_KPI06d1"/>
      <sheetName val="_KPI06d2"/>
      <sheetName val="_KPI06e1"/>
      <sheetName val="_KPI06e2"/>
      <sheetName val="_KPI06f1"/>
      <sheetName val="_KPI06f2"/>
      <sheetName val="_KPI07a"/>
      <sheetName val="_KPI07b"/>
      <sheetName val="_KPI07c"/>
      <sheetName val="_KPI07d"/>
      <sheetName val="_KPI07e"/>
      <sheetName val="_KPI07f"/>
      <sheetName val="_KPI08a1"/>
      <sheetName val="_KPI08a2"/>
      <sheetName val="_KPI08b1"/>
      <sheetName val="_KPI08b2"/>
      <sheetName val="_KPI08c1"/>
      <sheetName val="_KPI08c2"/>
      <sheetName val="_KPI08d1"/>
      <sheetName val="_KPI08d2"/>
      <sheetName val="_KPI08e1"/>
      <sheetName val="_KPI08e2"/>
      <sheetName val="_KPI09a1"/>
      <sheetName val="_KPI09a2"/>
      <sheetName val="_KPI09b1"/>
      <sheetName val="_KPI09b2"/>
      <sheetName val="_KPI09c1"/>
      <sheetName val="_KPI09c2"/>
      <sheetName val="_KPI09d1"/>
      <sheetName val="_KPI09d2"/>
      <sheetName val="_KPI09e1"/>
      <sheetName val="_KPI09e2"/>
      <sheetName val="_KPI10a1"/>
      <sheetName val="_KPI10a2"/>
      <sheetName val="_KPI10a3"/>
      <sheetName val="LGM"/>
      <sheetName val="AAMMCDE"/>
      <sheetName val="COREFRS"/>
      <sheetName val="PURLIST"/>
      <sheetName val="BULIST"/>
      <sheetName val="DA_VAL"/>
      <sheetName val="DA_RWBU"/>
      <sheetName val="DA_TRANCHE"/>
      <sheetName val="DA_STATUS"/>
      <sheetName val="DA_DELAI"/>
      <sheetName val="VAL"/>
      <sheetName val="RWBU"/>
      <sheetName val="TRANCHE"/>
      <sheetName val="TRANCHE2"/>
      <sheetName val="DELAIS"/>
      <sheetName val="LIVR°A"/>
      <sheetName val="LIVR°R1"/>
      <sheetName val="LIVR°1"/>
      <sheetName val="LIVR°F"/>
      <sheetName val="AR°R"/>
      <sheetName val="DAR°R"/>
      <sheetName val="DATA_DA"/>
      <sheetName val="DATA_ADC"/>
      <sheetName val="DATA_AR"/>
      <sheetName val="FORMULAS1"/>
      <sheetName val="FORMULAS2"/>
      <sheetName val="PARAMS"/>
      <sheetName val="SHT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heteur Leader Générique 2020"/>
      <sheetName val="Spent"/>
      <sheetName val="Correspondance acheteur génériq"/>
      <sheetName val="Frs Déchets à retirer"/>
      <sheetName val="Liste frs contrat"/>
      <sheetName val="Retraitement"/>
      <sheetName val="Vendorlist"/>
      <sheetName val="Frs suivi"/>
      <sheetName val="Feuil2"/>
      <sheetName val="Branch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ment répondre"/>
      <sheetName val="Présentation"/>
      <sheetName val="Réseau commercial"/>
      <sheetName val="Données commerciales"/>
      <sheetName val="Informations financières"/>
      <sheetName val="SSE"/>
      <sheetName val="LPN"/>
      <sheetName val="PdV"/>
      <sheetName val="Conditions Commerciales"/>
      <sheetName val="Modèle de contrat cadre"/>
      <sheetName val="Document à transmettre"/>
      <sheetName val="Reprise de donné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D Directoire"/>
      <sheetName val="TDB GENERAL"/>
      <sheetName val="Acheteur - Perf N+1  Perf Négo"/>
      <sheetName val="Acheteurs - Dossiers traités"/>
      <sheetName val="Feuil1"/>
      <sheetName val="Plans action 2019"/>
      <sheetName val="BRANCHES - Nb de ID ss CO"/>
      <sheetName val="BRANCHE - Perf N+CO+BFA"/>
      <sheetName val="BRANCHE - Perf N+CO ss BFA"/>
      <sheetName val="BRANCHE - Impact P&amp;L + CO"/>
      <sheetName val="Contrats 2019 au mois écoulé"/>
      <sheetName val="BRANCHE - TCV + CC"/>
      <sheetName val="Contrats 19"/>
      <sheetName val="BRANCHE - Perf N+BFA ss CO"/>
      <sheetName val="BRANCHE - Spent Groupe"/>
      <sheetName val="BRANCHE - Spent Perim HA"/>
      <sheetName val="Acheteur - Perf N"/>
      <sheetName val="PIPE"/>
      <sheetName val="Acheteurs TCV"/>
      <sheetName val="TDB 2019 au mois"/>
      <sheetName val="Acheteurs - BFA"/>
      <sheetName val="TCD Spent Acheteur"/>
      <sheetName val="Top 30 Frns"/>
      <sheetName val="Modèle spent"/>
      <sheetName val="Modèle spent 2018"/>
      <sheetName val="Portefeuille Acheteur"/>
      <sheetName val="VENDORLIST 221018"/>
      <sheetName val="Frs Déchets à retirer"/>
      <sheetName val="TDB Achats 20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 refreshError="1"/>
      <sheetData sheetId="2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D Directoire"/>
      <sheetName val="TDB GENERAL"/>
      <sheetName val="Acheteur - Perf N+1  Perf Négo"/>
      <sheetName val="Acheteurs - Dossiers traités"/>
      <sheetName val="Feuil1"/>
      <sheetName val="Plans action 2019"/>
      <sheetName val="BRANCHES - Nb de ID ss CO"/>
      <sheetName val="BRANCHE - Perf N+CO+BFA"/>
      <sheetName val="BRANCHE - Perf N+CO ss BFA"/>
      <sheetName val="BRANCHE - Impact P&amp;L + CO"/>
      <sheetName val="Contrats 2019 au mois écoulé"/>
      <sheetName val="BRANCHE - TCV + CC"/>
      <sheetName val="Contrats 19"/>
      <sheetName val="BRANCHE - Perf N+BFA ss CO"/>
      <sheetName val="BRANCHE - Spent Groupe"/>
      <sheetName val="Acheteur - Perf N"/>
      <sheetName val="PIPE"/>
      <sheetName val="Acheteurs TCV"/>
      <sheetName val="TDB 2019 au mois"/>
      <sheetName val="Acheteurs - BFA"/>
      <sheetName val="TCD Spent Acheteur"/>
      <sheetName val="Top 30 Frns"/>
      <sheetName val="Modèle spent"/>
      <sheetName val="Modèle spent 2018"/>
      <sheetName val="Portefeuille Acheteur"/>
      <sheetName val="VENDORLIST 221018"/>
      <sheetName val="Frs Déchets à retirer"/>
      <sheetName val="TDB Achats 2019 - Direct Indi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D acheteurs"/>
      <sheetName val="Data tableau"/>
      <sheetName val="GLOBAL"/>
      <sheetName val="Tableau"/>
      <sheetName val="BATIMENT"/>
      <sheetName val="ENVELOPPE"/>
      <sheetName val="ENERGIES"/>
      <sheetName val="AMGT INT"/>
      <sheetName val="RBTS"/>
      <sheetName val="RCB"/>
      <sheetName val="METIER 1"/>
      <sheetName val="TP"/>
      <sheetName val="ENVIRONNEMENT"/>
      <sheetName val="METIER 2"/>
      <sheetName val="MP"/>
      <sheetName val="Matériaux"/>
      <sheetName val="Négoce"/>
      <sheetName val="DIRECT"/>
      <sheetName val="FG"/>
      <sheetName val="Out,Conso,Trans"/>
      <sheetName val="I.NRJ, Loc Mat Ch"/>
      <sheetName val="Loc mat roul"/>
      <sheetName val="INDIRECT"/>
      <sheetName val="BFA"/>
      <sheetName val="Portefeuille"/>
      <sheetName val="Acheteur Leader"/>
      <sheetName val="DG Bat"/>
      <sheetName val="DG Envel"/>
      <sheetName val="DG Energies"/>
      <sheetName val="DG Envir"/>
      <sheetName val="DG TP"/>
      <sheetName val="DG Pole Mat + Centrale"/>
      <sheetName val="DG RCB RBTS AMGT"/>
      <sheetName val="DG Imm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-JEXP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ME"/>
      <sheetName val="SEGMENTATION"/>
      <sheetName val="Feuil3"/>
    </sheetNames>
    <sheetDataSet>
      <sheetData sheetId="0"/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titutionFinal Ramery "/>
      <sheetName val="éco contribution"/>
    </sheetNames>
    <sheetDataSet>
      <sheetData sheetId="0">
        <row r="7">
          <cell r="W7"/>
        </row>
        <row r="8">
          <cell r="B8" t="str">
            <v>Réf.</v>
          </cell>
          <cell r="C8" t="str">
            <v xml:space="preserve">Famille </v>
          </cell>
        </row>
        <row r="9">
          <cell r="B9">
            <v>10035363</v>
          </cell>
          <cell r="C9" t="str">
            <v>BICOUCHE SUPPORT BETON ISOLANT PSE/POLYURETHANE</v>
          </cell>
        </row>
        <row r="10">
          <cell r="B10">
            <v>10035543</v>
          </cell>
          <cell r="C10" t="str">
            <v>BICOUCHE SUPPORT BETON ISOLANT PSE/POLYURETHANE</v>
          </cell>
        </row>
        <row r="11">
          <cell r="B11">
            <v>10035568</v>
          </cell>
          <cell r="C11" t="str">
            <v>BICOUCHE SUPPORT BETON ISOLANT PSE/POLYURETHANE</v>
          </cell>
        </row>
        <row r="12">
          <cell r="B12">
            <v>10035585</v>
          </cell>
          <cell r="C12" t="str">
            <v>BICOUCHES FIXES ACIER</v>
          </cell>
        </row>
        <row r="13">
          <cell r="B13">
            <v>10035525</v>
          </cell>
          <cell r="C13" t="str">
            <v>BICOUCHES FIXES ACIER</v>
          </cell>
        </row>
        <row r="14">
          <cell r="B14">
            <v>10035530</v>
          </cell>
          <cell r="C14" t="str">
            <v>BICOUCHES FIXES ACIER</v>
          </cell>
        </row>
        <row r="15">
          <cell r="B15">
            <v>10035523</v>
          </cell>
          <cell r="C15" t="str">
            <v>PARE VAPEUR</v>
          </cell>
        </row>
        <row r="16">
          <cell r="B16">
            <v>10035491</v>
          </cell>
          <cell r="C16" t="str">
            <v>PARE VAPEUR</v>
          </cell>
        </row>
        <row r="17">
          <cell r="B17">
            <v>10035371</v>
          </cell>
          <cell r="C17" t="str">
            <v>MONOCOUCHE ACIER</v>
          </cell>
        </row>
        <row r="18">
          <cell r="B18">
            <v>20011293</v>
          </cell>
          <cell r="C18" t="str">
            <v>COLLES</v>
          </cell>
        </row>
        <row r="19">
          <cell r="B19">
            <v>10035532</v>
          </cell>
          <cell r="C19" t="str">
            <v>RELEVES</v>
          </cell>
        </row>
        <row r="20">
          <cell r="B20">
            <v>10038472</v>
          </cell>
          <cell r="C20" t="str">
            <v>RELEVES</v>
          </cell>
        </row>
        <row r="21">
          <cell r="B21">
            <v>10035685</v>
          </cell>
          <cell r="C21" t="str">
            <v>RELEVES</v>
          </cell>
        </row>
        <row r="22">
          <cell r="B22">
            <v>10035686</v>
          </cell>
          <cell r="C22" t="str">
            <v>RELEVES</v>
          </cell>
        </row>
        <row r="23">
          <cell r="B23">
            <v>20011552</v>
          </cell>
          <cell r="C23" t="str">
            <v>RELEVES</v>
          </cell>
        </row>
        <row r="24">
          <cell r="B24">
            <v>20011554</v>
          </cell>
          <cell r="C24" t="str">
            <v>RELEVES</v>
          </cell>
        </row>
        <row r="25">
          <cell r="B25">
            <v>10035735</v>
          </cell>
          <cell r="C25" t="str">
            <v>RELEVES</v>
          </cell>
        </row>
        <row r="26">
          <cell r="B26">
            <v>10035697</v>
          </cell>
          <cell r="C26" t="str">
            <v>BI COUCHES JARDIN</v>
          </cell>
        </row>
        <row r="27">
          <cell r="B27">
            <v>10035483</v>
          </cell>
          <cell r="C27" t="str">
            <v>BI COUCHES JARDIN</v>
          </cell>
        </row>
        <row r="28">
          <cell r="B28">
            <v>10035590</v>
          </cell>
          <cell r="C28" t="str">
            <v>BI COUCHES ET MONOCOUCHE SOUS GRAVILLONS /DALLES SUR PLOTS</v>
          </cell>
        </row>
        <row r="29">
          <cell r="B29">
            <v>10035583</v>
          </cell>
          <cell r="C29" t="str">
            <v>BI COUCHES ET MONOCOUCHE SOUS GRAVILLONS /DALLES SUR PLOTS</v>
          </cell>
        </row>
        <row r="30">
          <cell r="B30">
            <v>10035562</v>
          </cell>
          <cell r="C30" t="str">
            <v>BI COUCHES ET MONOCOUCHE SOUS GRAVILLONS /DALLES SUR PLOTS</v>
          </cell>
        </row>
        <row r="31">
          <cell r="B31">
            <v>10035769</v>
          </cell>
          <cell r="C31" t="str">
            <v>BI COUCHES ET MONOCOUCHE SOUS GRAVILLONS /DALLES SUR PLOTS</v>
          </cell>
        </row>
        <row r="32">
          <cell r="B32">
            <v>10035775</v>
          </cell>
          <cell r="C32" t="str">
            <v>BI COUCHES ET MONOCOUCHE SOUS GRAVILLONS /DALLES SUR PLOTS</v>
          </cell>
        </row>
        <row r="33">
          <cell r="B33">
            <v>10035718</v>
          </cell>
          <cell r="C33" t="str">
            <v>EIF</v>
          </cell>
        </row>
        <row r="34">
          <cell r="B34">
            <v>10038554</v>
          </cell>
          <cell r="C34" t="str">
            <v>EIF</v>
          </cell>
        </row>
      </sheetData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titutionFinal Ramery "/>
      <sheetName val="éco contribution"/>
    </sheetNames>
    <sheetDataSet>
      <sheetData sheetId="0">
        <row r="8">
          <cell r="B8" t="str">
            <v>Réf.</v>
          </cell>
          <cell r="C8" t="str">
            <v>Désignation article</v>
          </cell>
          <cell r="D8" t="str">
            <v>Conditionnement</v>
          </cell>
          <cell r="F8" t="str">
            <v xml:space="preserve">Tarif Public </v>
          </cell>
          <cell r="G8" t="str">
            <v>Unité</v>
          </cell>
          <cell r="H8" t="str">
            <v>Taux de remise sur Tarif Public</v>
          </cell>
          <cell r="I8" t="str">
            <v>Prix Vte € HT hors éco</v>
          </cell>
          <cell r="J8" t="str">
            <v>unité Prix</v>
          </cell>
          <cell r="K8" t="str">
            <v>Prix Vte RAMERY € HT hors éco</v>
          </cell>
          <cell r="L8" t="str">
            <v xml:space="preserve">unité </v>
          </cell>
          <cell r="M8" t="str">
            <v>PV Avril</v>
          </cell>
          <cell r="N8" t="str">
            <v>Eco contribution  Jusqu'au 30 AVRIL</v>
          </cell>
          <cell r="O8" t="str">
            <v>Unité</v>
          </cell>
          <cell r="P8" t="str">
            <v>Eco contribution  Jusqu'au 30 AVRIL</v>
          </cell>
          <cell r="Q8" t="str">
            <v>Unité</v>
          </cell>
          <cell r="R8" t="str">
            <v>PV avec Eco RAMERY jusqu'au 30 AVRIL</v>
          </cell>
          <cell r="S8" t="str">
            <v>unité</v>
          </cell>
          <cell r="T8" t="str">
            <v>PV avec Eco RAMERY jusqu'au 30 AVRIL</v>
          </cell>
          <cell r="U8" t="str">
            <v>unité</v>
          </cell>
          <cell r="V8" t="str">
            <v>PV 1 ER MAI</v>
          </cell>
          <cell r="W8" t="str">
            <v>Eco contribution au 1er Mai</v>
          </cell>
          <cell r="X8" t="str">
            <v>Unité</v>
          </cell>
          <cell r="Y8" t="str">
            <v>Eco contribution au 1er Mai</v>
          </cell>
        </row>
        <row r="9">
          <cell r="B9">
            <v>10035363</v>
          </cell>
          <cell r="C9" t="str">
            <v>ADEPAR JS 7M</v>
          </cell>
          <cell r="D9">
            <v>7</v>
          </cell>
          <cell r="E9" t="str">
            <v>RL</v>
          </cell>
          <cell r="F9">
            <v>53.48</v>
          </cell>
          <cell r="G9" t="str">
            <v>ROL</v>
          </cell>
          <cell r="H9">
            <v>0.24221548635987869</v>
          </cell>
          <cell r="I9">
            <v>5.7894736842105265</v>
          </cell>
          <cell r="J9" t="str">
            <v>M²</v>
          </cell>
          <cell r="K9">
            <v>40.526315789473685</v>
          </cell>
          <cell r="L9" t="str">
            <v>ROL</v>
          </cell>
          <cell r="N9">
            <v>0.11019999999999999</v>
          </cell>
          <cell r="O9" t="str">
            <v>M2</v>
          </cell>
          <cell r="P9">
            <v>0.77139999999999997</v>
          </cell>
          <cell r="Q9" t="str">
            <v>€/RL</v>
          </cell>
          <cell r="R9">
            <v>5.8996736842105264</v>
          </cell>
          <cell r="S9" t="str">
            <v>M²</v>
          </cell>
          <cell r="T9">
            <v>41.297715789473685</v>
          </cell>
          <cell r="U9" t="str">
            <v>ROL</v>
          </cell>
          <cell r="W9">
            <v>0.14325257142857142</v>
          </cell>
          <cell r="X9" t="str">
            <v>M²</v>
          </cell>
          <cell r="Y9">
            <v>1.0027679999999999</v>
          </cell>
        </row>
        <row r="10">
          <cell r="B10">
            <v>10035543</v>
          </cell>
          <cell r="C10" t="str">
            <v>PARADIENE 30.1 GS ANTHRACITE 6M</v>
          </cell>
          <cell r="D10">
            <v>6</v>
          </cell>
          <cell r="E10" t="str">
            <v>RL</v>
          </cell>
          <cell r="F10">
            <v>32.94</v>
          </cell>
          <cell r="G10" t="str">
            <v>ROL</v>
          </cell>
          <cell r="H10">
            <v>0.24264212443677477</v>
          </cell>
          <cell r="I10">
            <v>4.1578947368421062</v>
          </cell>
          <cell r="J10" t="str">
            <v>M²</v>
          </cell>
          <cell r="K10">
            <v>24.947368421052637</v>
          </cell>
          <cell r="L10" t="str">
            <v>ROL</v>
          </cell>
          <cell r="N10">
            <v>0.12578333333333333</v>
          </cell>
          <cell r="O10" t="str">
            <v>M2</v>
          </cell>
          <cell r="P10">
            <v>0.75470000000000004</v>
          </cell>
          <cell r="Q10" t="str">
            <v>€/RL</v>
          </cell>
          <cell r="R10">
            <v>4.2836780701754398</v>
          </cell>
          <cell r="S10" t="str">
            <v>M²</v>
          </cell>
          <cell r="T10">
            <v>25.702068421052637</v>
          </cell>
          <cell r="U10" t="str">
            <v>ROL</v>
          </cell>
          <cell r="W10">
            <v>0.1635075</v>
          </cell>
          <cell r="X10" t="str">
            <v>M²</v>
          </cell>
          <cell r="Y10">
            <v>0.98104500000000006</v>
          </cell>
        </row>
        <row r="11">
          <cell r="B11">
            <v>10035568</v>
          </cell>
          <cell r="C11" t="str">
            <v>PARADIENE 40.1 GS ANTHRACITE 6M</v>
          </cell>
          <cell r="D11">
            <v>6</v>
          </cell>
          <cell r="E11" t="str">
            <v>RL</v>
          </cell>
          <cell r="F11">
            <v>46.44</v>
          </cell>
          <cell r="G11" t="str">
            <v>ROL</v>
          </cell>
          <cell r="H11">
            <v>0.24248606011151899</v>
          </cell>
          <cell r="I11">
            <v>5.863157894736843</v>
          </cell>
          <cell r="J11" t="str">
            <v>M²</v>
          </cell>
          <cell r="K11">
            <v>35.178947368421056</v>
          </cell>
          <cell r="L11" t="str">
            <v>ROL</v>
          </cell>
          <cell r="N11">
            <v>0.15136666666666668</v>
          </cell>
          <cell r="O11" t="str">
            <v>M2</v>
          </cell>
          <cell r="P11">
            <v>0.90820000000000001</v>
          </cell>
          <cell r="Q11" t="str">
            <v>€/RL</v>
          </cell>
          <cell r="R11">
            <v>6.0145245614035101</v>
          </cell>
          <cell r="S11" t="str">
            <v>M²</v>
          </cell>
          <cell r="T11">
            <v>36.087147368421057</v>
          </cell>
          <cell r="U11" t="str">
            <v>ROL</v>
          </cell>
          <cell r="W11">
            <v>0.19677449999999999</v>
          </cell>
          <cell r="X11" t="str">
            <v>M²</v>
          </cell>
          <cell r="Y11">
            <v>1.180647</v>
          </cell>
        </row>
        <row r="12">
          <cell r="B12">
            <v>10035585</v>
          </cell>
          <cell r="C12" t="str">
            <v>PARADIENE FM 7,50 M</v>
          </cell>
          <cell r="D12">
            <v>7.5</v>
          </cell>
          <cell r="E12" t="str">
            <v>RL</v>
          </cell>
          <cell r="F12">
            <v>35.85</v>
          </cell>
          <cell r="G12" t="str">
            <v>ROL</v>
          </cell>
          <cell r="H12">
            <v>0.24245760845628717</v>
          </cell>
          <cell r="I12">
            <v>3.6210526315789475</v>
          </cell>
          <cell r="J12" t="str">
            <v>M²</v>
          </cell>
          <cell r="K12">
            <v>27.157894736842106</v>
          </cell>
          <cell r="L12" t="str">
            <v>ROL</v>
          </cell>
          <cell r="N12">
            <v>0.17107999999999998</v>
          </cell>
          <cell r="O12" t="str">
            <v>M2</v>
          </cell>
          <cell r="P12">
            <v>1.2830999999999999</v>
          </cell>
          <cell r="Q12" t="str">
            <v>€/RL</v>
          </cell>
          <cell r="R12">
            <v>3.7921326315789474</v>
          </cell>
          <cell r="S12" t="str">
            <v>M²</v>
          </cell>
          <cell r="T12">
            <v>28.440994736842107</v>
          </cell>
          <cell r="U12" t="str">
            <v>ROL</v>
          </cell>
          <cell r="W12">
            <v>0.13344760000000003</v>
          </cell>
          <cell r="X12" t="str">
            <v>M²</v>
          </cell>
          <cell r="Y12">
            <v>1.0008570000000001</v>
          </cell>
        </row>
        <row r="13">
          <cell r="B13">
            <v>10035525</v>
          </cell>
          <cell r="C13" t="str">
            <v>PARACIER G ANTHRACITE 6M</v>
          </cell>
          <cell r="D13">
            <v>6</v>
          </cell>
          <cell r="E13" t="str">
            <v>RL</v>
          </cell>
          <cell r="F13">
            <v>27.24</v>
          </cell>
          <cell r="G13" t="str">
            <v>ROL</v>
          </cell>
          <cell r="H13">
            <v>0.23564417652059647</v>
          </cell>
          <cell r="I13">
            <v>3.4701754385964918</v>
          </cell>
          <cell r="J13" t="str">
            <v>M²</v>
          </cell>
          <cell r="K13">
            <v>20.821052631578951</v>
          </cell>
          <cell r="L13" t="str">
            <v>ROL</v>
          </cell>
          <cell r="N13">
            <v>0.12668333333333334</v>
          </cell>
          <cell r="O13" t="str">
            <v>M2</v>
          </cell>
          <cell r="P13">
            <v>0.7601</v>
          </cell>
          <cell r="Q13" t="str">
            <v>€/RL</v>
          </cell>
          <cell r="R13">
            <v>3.5968587719298251</v>
          </cell>
          <cell r="S13" t="str">
            <v>M²</v>
          </cell>
          <cell r="T13">
            <v>21.581152631578952</v>
          </cell>
          <cell r="U13" t="str">
            <v>ROL</v>
          </cell>
          <cell r="W13">
            <v>0.16457999999999998</v>
          </cell>
          <cell r="X13" t="str">
            <v>M²</v>
          </cell>
          <cell r="Y13">
            <v>0.98747999999999991</v>
          </cell>
        </row>
        <row r="14">
          <cell r="B14">
            <v>10035530</v>
          </cell>
          <cell r="C14" t="str">
            <v>PARACIER G VV 100G GRIS CLAIR</v>
          </cell>
          <cell r="D14">
            <v>10</v>
          </cell>
          <cell r="E14" t="str">
            <v>RL</v>
          </cell>
          <cell r="F14">
            <v>60.8</v>
          </cell>
          <cell r="G14" t="str">
            <v>ROL</v>
          </cell>
          <cell r="H14">
            <v>0.2416897506925208</v>
          </cell>
          <cell r="I14">
            <v>4.6105263157894729</v>
          </cell>
          <cell r="J14" t="str">
            <v>M²</v>
          </cell>
          <cell r="K14">
            <v>46.105263157894733</v>
          </cell>
          <cell r="L14" t="str">
            <v>ROL</v>
          </cell>
          <cell r="N14">
            <v>0.13081000000000001</v>
          </cell>
          <cell r="O14" t="str">
            <v>M2</v>
          </cell>
          <cell r="P14">
            <v>1.3081</v>
          </cell>
          <cell r="Q14" t="str">
            <v>€/RL</v>
          </cell>
          <cell r="R14">
            <v>4.7413363157894732</v>
          </cell>
          <cell r="S14" t="str">
            <v>M²</v>
          </cell>
          <cell r="T14">
            <v>47.413363157894736</v>
          </cell>
          <cell r="U14" t="str">
            <v>ROL</v>
          </cell>
          <cell r="W14">
            <v>0.17004779999999997</v>
          </cell>
          <cell r="X14" t="str">
            <v>M²</v>
          </cell>
          <cell r="Y14">
            <v>1.7004779999999997</v>
          </cell>
        </row>
        <row r="15">
          <cell r="B15">
            <v>10035523</v>
          </cell>
          <cell r="C15" t="str">
            <v>PARABASE 7,5M</v>
          </cell>
          <cell r="D15">
            <v>7.5</v>
          </cell>
          <cell r="E15" t="str">
            <v>RL</v>
          </cell>
          <cell r="F15">
            <v>33.229999999999997</v>
          </cell>
          <cell r="G15" t="str">
            <v>ROL</v>
          </cell>
          <cell r="H15">
            <v>0.2421242694458082</v>
          </cell>
          <cell r="I15">
            <v>3.3578947368421055</v>
          </cell>
          <cell r="J15" t="str">
            <v>M²</v>
          </cell>
          <cell r="K15">
            <v>25.184210526315791</v>
          </cell>
          <cell r="L15" t="str">
            <v>ROL</v>
          </cell>
          <cell r="N15">
            <v>9.7973333333333329E-2</v>
          </cell>
          <cell r="O15" t="str">
            <v>M2</v>
          </cell>
          <cell r="P15">
            <v>0.73480000000000001</v>
          </cell>
          <cell r="Q15" t="str">
            <v>€/RL</v>
          </cell>
          <cell r="R15">
            <v>3.455868070175439</v>
          </cell>
          <cell r="S15" t="str">
            <v>M²</v>
          </cell>
          <cell r="T15">
            <v>25.919010526315791</v>
          </cell>
          <cell r="U15" t="str">
            <v>ROL</v>
          </cell>
          <cell r="W15">
            <v>0.1273688</v>
          </cell>
          <cell r="X15" t="str">
            <v>M²</v>
          </cell>
          <cell r="Y15">
            <v>0.95526599999999995</v>
          </cell>
        </row>
        <row r="16">
          <cell r="B16">
            <v>10035491</v>
          </cell>
          <cell r="C16" t="str">
            <v>IREX PROFIL 6,5M</v>
          </cell>
          <cell r="D16">
            <v>6.5</v>
          </cell>
          <cell r="E16" t="str">
            <v>RL</v>
          </cell>
          <cell r="F16">
            <v>34.19</v>
          </cell>
          <cell r="G16" t="str">
            <v>ROL</v>
          </cell>
          <cell r="H16">
            <v>0.24154492695617352</v>
          </cell>
          <cell r="I16">
            <v>3.9894736842105272</v>
          </cell>
          <cell r="J16" t="str">
            <v>M²</v>
          </cell>
          <cell r="K16">
            <v>25.931578947368426</v>
          </cell>
          <cell r="L16" t="str">
            <v>ROL</v>
          </cell>
          <cell r="N16">
            <v>0.11410769230769231</v>
          </cell>
          <cell r="O16" t="str">
            <v>M2</v>
          </cell>
          <cell r="P16">
            <v>0.74170000000000003</v>
          </cell>
          <cell r="Q16" t="str">
            <v>€/RL</v>
          </cell>
          <cell r="R16">
            <v>4.1035813765182194</v>
          </cell>
          <cell r="S16" t="str">
            <v>M²</v>
          </cell>
          <cell r="T16">
            <v>26.673278947368427</v>
          </cell>
          <cell r="U16" t="str">
            <v>ROL</v>
          </cell>
          <cell r="W16">
            <v>0.148344</v>
          </cell>
          <cell r="X16" t="str">
            <v>M²</v>
          </cell>
          <cell r="Y16">
            <v>0.96423599999999998</v>
          </cell>
        </row>
        <row r="17">
          <cell r="B17">
            <v>10035371</v>
          </cell>
          <cell r="C17" t="str">
            <v>ADESOLO G ANTHRACITE 7M</v>
          </cell>
          <cell r="D17">
            <v>7</v>
          </cell>
          <cell r="E17" t="str">
            <v>RL</v>
          </cell>
          <cell r="F17">
            <v>80.849999999999994</v>
          </cell>
          <cell r="G17" t="str">
            <v>ROL</v>
          </cell>
          <cell r="H17">
            <v>0.24174071542492584</v>
          </cell>
          <cell r="I17">
            <v>8.7578947368421058</v>
          </cell>
          <cell r="J17" t="str">
            <v>M²</v>
          </cell>
          <cell r="K17">
            <v>61.305263157894743</v>
          </cell>
          <cell r="L17" t="str">
            <v>ROL</v>
          </cell>
          <cell r="N17">
            <v>0.18967142857142857</v>
          </cell>
          <cell r="O17" t="str">
            <v>M2</v>
          </cell>
          <cell r="P17">
            <v>1.3277000000000001</v>
          </cell>
          <cell r="Q17" t="str">
            <v>€/RL</v>
          </cell>
          <cell r="R17">
            <v>8.9475661654135337</v>
          </cell>
          <cell r="S17" t="str">
            <v>M²</v>
          </cell>
          <cell r="T17">
            <v>62.632963157894743</v>
          </cell>
          <cell r="U17" t="str">
            <v>ROL</v>
          </cell>
          <cell r="W17">
            <v>0.24534900000000001</v>
          </cell>
          <cell r="X17" t="str">
            <v>M²</v>
          </cell>
          <cell r="Y17">
            <v>1.7174430000000001</v>
          </cell>
        </row>
        <row r="18">
          <cell r="B18">
            <v>20011293</v>
          </cell>
          <cell r="C18" t="str">
            <v>COLLE PUR GLUE 12 KG</v>
          </cell>
          <cell r="D18">
            <v>12</v>
          </cell>
          <cell r="E18" t="str">
            <v>KG</v>
          </cell>
          <cell r="F18">
            <v>125.52</v>
          </cell>
          <cell r="G18" t="str">
            <v>JER</v>
          </cell>
          <cell r="H18">
            <v>0.24222602395089055</v>
          </cell>
          <cell r="I18">
            <v>7.9263157894736844</v>
          </cell>
          <cell r="J18" t="str">
            <v>KG</v>
          </cell>
          <cell r="K18">
            <v>95.115789473684217</v>
          </cell>
          <cell r="L18" t="str">
            <v>JER</v>
          </cell>
          <cell r="N18" t="str">
            <v xml:space="preserve"> </v>
          </cell>
          <cell r="O18" t="str">
            <v xml:space="preserve"> </v>
          </cell>
          <cell r="P18">
            <v>0</v>
          </cell>
          <cell r="Q18" t="str">
            <v xml:space="preserve"> </v>
          </cell>
          <cell r="R18" t="str">
            <v xml:space="preserve"> </v>
          </cell>
          <cell r="S18" t="str">
            <v>KG</v>
          </cell>
          <cell r="T18">
            <v>95.115789473684217</v>
          </cell>
          <cell r="U18" t="str">
            <v>JER</v>
          </cell>
        </row>
        <row r="19">
          <cell r="B19">
            <v>10035532</v>
          </cell>
          <cell r="C19" t="str">
            <v>PARADIAL S 6 M</v>
          </cell>
          <cell r="D19">
            <v>6</v>
          </cell>
          <cell r="E19" t="str">
            <v>RL</v>
          </cell>
          <cell r="F19">
            <v>60</v>
          </cell>
          <cell r="G19" t="str">
            <v>ROL</v>
          </cell>
          <cell r="H19">
            <v>0.24210526315789463</v>
          </cell>
          <cell r="I19">
            <v>7.578947368421054</v>
          </cell>
          <cell r="J19" t="str">
            <v>M²</v>
          </cell>
          <cell r="K19">
            <v>45.473684210526322</v>
          </cell>
          <cell r="L19" t="str">
            <v>ROL</v>
          </cell>
          <cell r="N19">
            <v>0.12946666666666667</v>
          </cell>
          <cell r="O19" t="str">
            <v>M2</v>
          </cell>
          <cell r="P19">
            <v>0.77680000000000005</v>
          </cell>
          <cell r="Q19" t="str">
            <v>€/RL</v>
          </cell>
          <cell r="R19">
            <v>7.7084140350877206</v>
          </cell>
          <cell r="S19" t="str">
            <v>M²</v>
          </cell>
          <cell r="T19">
            <v>46.250484210526324</v>
          </cell>
          <cell r="U19" t="str">
            <v>ROL</v>
          </cell>
          <cell r="W19">
            <v>0.16808999999999999</v>
          </cell>
          <cell r="X19" t="str">
            <v>M²</v>
          </cell>
          <cell r="Y19">
            <v>1.00854</v>
          </cell>
        </row>
        <row r="20">
          <cell r="B20">
            <v>10038472</v>
          </cell>
          <cell r="C20" t="str">
            <v>PARATHANE MAT (0,15 X 50 M)</v>
          </cell>
          <cell r="D20">
            <v>7.5</v>
          </cell>
          <cell r="E20" t="str">
            <v>RL</v>
          </cell>
          <cell r="F20">
            <v>57</v>
          </cell>
          <cell r="G20" t="str">
            <v>ROL</v>
          </cell>
          <cell r="H20">
            <v>0.24210526315789468</v>
          </cell>
          <cell r="I20">
            <v>5.7600000000000007</v>
          </cell>
          <cell r="J20" t="str">
            <v>M</v>
          </cell>
          <cell r="K20">
            <v>43.2</v>
          </cell>
          <cell r="L20" t="str">
            <v>ROL</v>
          </cell>
          <cell r="N20">
            <v>0.16910250000000002</v>
          </cell>
          <cell r="O20" t="str">
            <v>M</v>
          </cell>
          <cell r="P20">
            <v>2.2547000000000001</v>
          </cell>
          <cell r="Q20" t="str">
            <v>€/100 UN</v>
          </cell>
          <cell r="R20">
            <v>5.9291025000000008</v>
          </cell>
          <cell r="S20" t="str">
            <v>M</v>
          </cell>
          <cell r="T20">
            <v>45.454700000000003</v>
          </cell>
          <cell r="U20" t="str">
            <v>ROL</v>
          </cell>
          <cell r="W20">
            <v>2.0533333333333332E-3</v>
          </cell>
          <cell r="X20" t="str">
            <v>M</v>
          </cell>
          <cell r="Y20">
            <v>1.54E-2</v>
          </cell>
        </row>
        <row r="21">
          <cell r="B21">
            <v>10035685</v>
          </cell>
          <cell r="C21" t="str">
            <v>PAREQUERRE EN 250 MM</v>
          </cell>
          <cell r="D21">
            <v>10</v>
          </cell>
          <cell r="E21" t="str">
            <v>ML</v>
          </cell>
          <cell r="F21">
            <v>19.5</v>
          </cell>
          <cell r="G21" t="str">
            <v>ROL</v>
          </cell>
          <cell r="H21">
            <v>0.23886639676113355</v>
          </cell>
          <cell r="I21">
            <v>1.4842105263157896</v>
          </cell>
          <cell r="J21" t="str">
            <v>ML</v>
          </cell>
          <cell r="K21">
            <v>14.842105263157896</v>
          </cell>
          <cell r="L21" t="str">
            <v>ROL</v>
          </cell>
          <cell r="N21">
            <v>3.5809999999999995E-2</v>
          </cell>
          <cell r="O21" t="str">
            <v>M</v>
          </cell>
          <cell r="P21">
            <v>0.35809999999999997</v>
          </cell>
          <cell r="Q21" t="str">
            <v>€/RL</v>
          </cell>
          <cell r="R21">
            <v>1.5200205263157895</v>
          </cell>
          <cell r="S21" t="str">
            <v>M</v>
          </cell>
          <cell r="T21">
            <v>15.200205263157896</v>
          </cell>
          <cell r="U21" t="str">
            <v>ROL</v>
          </cell>
          <cell r="W21">
            <v>4.6558200000000008E-2</v>
          </cell>
          <cell r="X21" t="str">
            <v>M</v>
          </cell>
          <cell r="Y21">
            <v>0.46558200000000005</v>
          </cell>
        </row>
        <row r="22">
          <cell r="B22">
            <v>10035686</v>
          </cell>
          <cell r="C22" t="str">
            <v>PAREQUERRE EN 333 MM</v>
          </cell>
          <cell r="D22">
            <v>10</v>
          </cell>
          <cell r="E22" t="str">
            <v>ML</v>
          </cell>
          <cell r="F22">
            <v>31.07</v>
          </cell>
          <cell r="G22" t="str">
            <v>ROL</v>
          </cell>
          <cell r="H22">
            <v>0.24782748632121016</v>
          </cell>
          <cell r="I22">
            <v>2.3370000000000002</v>
          </cell>
          <cell r="J22" t="str">
            <v>ML</v>
          </cell>
          <cell r="K22">
            <v>23.37</v>
          </cell>
          <cell r="L22" t="str">
            <v>ROL</v>
          </cell>
          <cell r="N22">
            <v>4.768E-2</v>
          </cell>
          <cell r="O22" t="str">
            <v>M</v>
          </cell>
          <cell r="P22">
            <v>0.4768</v>
          </cell>
          <cell r="Q22" t="str">
            <v>€/RL</v>
          </cell>
          <cell r="R22">
            <v>2.3846800000000004</v>
          </cell>
          <cell r="S22" t="str">
            <v>M</v>
          </cell>
          <cell r="T22">
            <v>23.846800000000002</v>
          </cell>
          <cell r="U22" t="str">
            <v>ROL</v>
          </cell>
          <cell r="W22">
            <v>6.1428900000000008E-2</v>
          </cell>
          <cell r="X22" t="str">
            <v>M</v>
          </cell>
          <cell r="Y22">
            <v>0.61428900000000008</v>
          </cell>
        </row>
        <row r="23">
          <cell r="B23">
            <v>20011552</v>
          </cell>
          <cell r="C23" t="str">
            <v>SUPRACOATING RLV 15KG</v>
          </cell>
          <cell r="D23">
            <v>15</v>
          </cell>
          <cell r="E23" t="str">
            <v>BD</v>
          </cell>
          <cell r="F23">
            <v>226.2</v>
          </cell>
          <cell r="G23" t="str">
            <v>JER</v>
          </cell>
          <cell r="H23">
            <v>0.24193773558564849</v>
          </cell>
          <cell r="I23">
            <v>11.43157894736842</v>
          </cell>
          <cell r="J23" t="str">
            <v>KG</v>
          </cell>
          <cell r="K23">
            <v>171.4736842105263</v>
          </cell>
          <cell r="L23" t="str">
            <v>JER</v>
          </cell>
          <cell r="N23">
            <v>0</v>
          </cell>
          <cell r="O23" t="str">
            <v xml:space="preserve"> </v>
          </cell>
          <cell r="R23">
            <v>11.43157894736842</v>
          </cell>
          <cell r="S23" t="str">
            <v>KG</v>
          </cell>
          <cell r="T23">
            <v>171.4736842105263</v>
          </cell>
          <cell r="U23" t="str">
            <v>JER</v>
          </cell>
        </row>
        <row r="24">
          <cell r="B24">
            <v>20011554</v>
          </cell>
          <cell r="C24" t="str">
            <v>SUPRACOATING RLV 6KG</v>
          </cell>
          <cell r="D24">
            <v>6</v>
          </cell>
          <cell r="E24" t="str">
            <v>BD</v>
          </cell>
          <cell r="F24">
            <v>94.2</v>
          </cell>
          <cell r="G24" t="str">
            <v>JER</v>
          </cell>
          <cell r="H24">
            <v>0.24237344954743537</v>
          </cell>
          <cell r="I24">
            <v>11.894736842105265</v>
          </cell>
          <cell r="J24" t="str">
            <v>KG</v>
          </cell>
          <cell r="K24">
            <v>71.368421052631589</v>
          </cell>
          <cell r="L24" t="str">
            <v>JER</v>
          </cell>
          <cell r="N24">
            <v>0</v>
          </cell>
          <cell r="O24" t="str">
            <v xml:space="preserve"> </v>
          </cell>
          <cell r="R24">
            <v>11.894736842105265</v>
          </cell>
          <cell r="S24" t="str">
            <v>KG</v>
          </cell>
          <cell r="T24">
            <v>71.368421052631589</v>
          </cell>
          <cell r="U24" t="str">
            <v>JER</v>
          </cell>
        </row>
        <row r="25">
          <cell r="B25">
            <v>10035735</v>
          </cell>
          <cell r="C25" t="str">
            <v>SUPRADIAL GS ANTHRACITE 5 M</v>
          </cell>
          <cell r="D25">
            <v>5</v>
          </cell>
          <cell r="E25" t="str">
            <v>RL</v>
          </cell>
          <cell r="F25">
            <v>52.5</v>
          </cell>
          <cell r="G25" t="str">
            <v>ROL</v>
          </cell>
          <cell r="H25">
            <v>0.24210526315789471</v>
          </cell>
          <cell r="I25">
            <v>7.9578947368421051</v>
          </cell>
          <cell r="J25" t="str">
            <v>M²</v>
          </cell>
          <cell r="K25">
            <v>39.789473684210527</v>
          </cell>
          <cell r="L25" t="str">
            <v>ROL</v>
          </cell>
          <cell r="N25">
            <v>0.16803999999999999</v>
          </cell>
          <cell r="O25" t="str">
            <v>M2</v>
          </cell>
          <cell r="P25">
            <v>0.84019999999999995</v>
          </cell>
          <cell r="Q25" t="str">
            <v>€/RL</v>
          </cell>
          <cell r="R25">
            <v>8.1259347368421047</v>
          </cell>
          <cell r="S25" t="str">
            <v>M²</v>
          </cell>
          <cell r="T25">
            <v>40.62967368421053</v>
          </cell>
          <cell r="U25" t="str">
            <v>ROL</v>
          </cell>
          <cell r="W25">
            <v>0.2184546</v>
          </cell>
          <cell r="X25" t="str">
            <v>M²</v>
          </cell>
          <cell r="Y25">
            <v>1.092273</v>
          </cell>
        </row>
        <row r="26">
          <cell r="B26">
            <v>10035697</v>
          </cell>
          <cell r="C26" t="str">
            <v>PREFLEX 6.5M</v>
          </cell>
          <cell r="D26">
            <v>6.5</v>
          </cell>
          <cell r="E26" t="str">
            <v>RL</v>
          </cell>
          <cell r="F26">
            <v>46.8</v>
          </cell>
          <cell r="G26" t="str">
            <v>ROL</v>
          </cell>
          <cell r="H26">
            <v>0.24269005847953204</v>
          </cell>
          <cell r="I26">
            <v>5.4526315789473694</v>
          </cell>
          <cell r="J26" t="str">
            <v>M²</v>
          </cell>
          <cell r="K26">
            <v>35.442105263157899</v>
          </cell>
          <cell r="L26" t="str">
            <v>ROL</v>
          </cell>
          <cell r="N26">
            <v>0.11636923076923077</v>
          </cell>
          <cell r="O26" t="str">
            <v>M2</v>
          </cell>
          <cell r="P26">
            <v>0.75639999999999996</v>
          </cell>
          <cell r="Q26" t="str">
            <v>€/RL</v>
          </cell>
          <cell r="R26">
            <v>5.5690008097166004</v>
          </cell>
          <cell r="S26" t="str">
            <v>M²</v>
          </cell>
          <cell r="T26">
            <v>36.198505263157898</v>
          </cell>
          <cell r="U26" t="str">
            <v>ROL</v>
          </cell>
          <cell r="W26">
            <v>0.151278</v>
          </cell>
          <cell r="X26" t="str">
            <v>M²</v>
          </cell>
          <cell r="Y26">
            <v>0.98330699999999993</v>
          </cell>
        </row>
        <row r="27">
          <cell r="B27">
            <v>10035483</v>
          </cell>
          <cell r="C27" t="str">
            <v>GRAVIFLEX 5M</v>
          </cell>
          <cell r="D27">
            <v>5</v>
          </cell>
          <cell r="E27" t="str">
            <v>RL</v>
          </cell>
          <cell r="F27">
            <v>45.3</v>
          </cell>
          <cell r="G27" t="str">
            <v>ROL</v>
          </cell>
          <cell r="H27">
            <v>0.24131520855117916</v>
          </cell>
          <cell r="I27">
            <v>6.8736842105263163</v>
          </cell>
          <cell r="J27" t="str">
            <v>M²</v>
          </cell>
          <cell r="K27">
            <v>34.368421052631582</v>
          </cell>
          <cell r="L27" t="str">
            <v>ROL</v>
          </cell>
          <cell r="N27">
            <v>0.15167999999999998</v>
          </cell>
          <cell r="O27" t="str">
            <v>M2</v>
          </cell>
          <cell r="P27">
            <v>0.75839999999999996</v>
          </cell>
          <cell r="Q27" t="str">
            <v>€/RL</v>
          </cell>
          <cell r="R27">
            <v>7.0253642105263161</v>
          </cell>
          <cell r="S27" t="str">
            <v>M²</v>
          </cell>
          <cell r="T27">
            <v>35.126821052631584</v>
          </cell>
          <cell r="U27" t="str">
            <v>ROL</v>
          </cell>
          <cell r="W27">
            <v>0.19695000000000001</v>
          </cell>
          <cell r="X27" t="str">
            <v>M²</v>
          </cell>
          <cell r="Y27">
            <v>0.98475000000000001</v>
          </cell>
        </row>
        <row r="28">
          <cell r="B28">
            <v>10035590</v>
          </cell>
          <cell r="C28" t="str">
            <v>PARADIENE JS R4 7.5M</v>
          </cell>
          <cell r="D28">
            <v>7.5</v>
          </cell>
          <cell r="E28" t="str">
            <v>RL</v>
          </cell>
          <cell r="F28">
            <v>55.95</v>
          </cell>
          <cell r="G28" t="str">
            <v>ROL</v>
          </cell>
          <cell r="H28">
            <v>0.24227458727247081</v>
          </cell>
          <cell r="I28">
            <v>5.6526315789473678</v>
          </cell>
          <cell r="J28" t="str">
            <v>M²</v>
          </cell>
          <cell r="K28">
            <v>42.39473684210526</v>
          </cell>
          <cell r="L28" t="str">
            <v>ROL</v>
          </cell>
          <cell r="N28">
            <v>0.17870666666666668</v>
          </cell>
          <cell r="O28" t="str">
            <v>M2</v>
          </cell>
          <cell r="P28">
            <v>1.3403</v>
          </cell>
          <cell r="Q28" t="str">
            <v>€/RL</v>
          </cell>
          <cell r="R28">
            <v>5.8313382456140346</v>
          </cell>
          <cell r="S28" t="str">
            <v>M²</v>
          </cell>
          <cell r="T28">
            <v>43.735036842105259</v>
          </cell>
          <cell r="U28" t="str">
            <v>ROL</v>
          </cell>
          <cell r="W28">
            <v>0.12998959999999998</v>
          </cell>
          <cell r="X28" t="str">
            <v>M²</v>
          </cell>
          <cell r="Y28">
            <v>0.97492199999999996</v>
          </cell>
        </row>
        <row r="29">
          <cell r="B29">
            <v>10035583</v>
          </cell>
          <cell r="C29" t="str">
            <v>PARADIENE BDS 7.5 M</v>
          </cell>
          <cell r="D29">
            <v>7.5</v>
          </cell>
          <cell r="E29" t="str">
            <v>RL</v>
          </cell>
          <cell r="F29">
            <v>37.58</v>
          </cell>
          <cell r="G29" t="str">
            <v>ROL</v>
          </cell>
          <cell r="H29">
            <v>0.24161788185204894</v>
          </cell>
          <cell r="I29">
            <v>3.8</v>
          </cell>
          <cell r="J29" t="str">
            <v>M²</v>
          </cell>
          <cell r="K29">
            <v>28.5</v>
          </cell>
          <cell r="L29" t="str">
            <v>ROL</v>
          </cell>
          <cell r="N29">
            <v>0.10196000000000001</v>
          </cell>
          <cell r="O29" t="str">
            <v>M2</v>
          </cell>
          <cell r="P29">
            <v>0.76470000000000005</v>
          </cell>
          <cell r="Q29" t="str">
            <v>€/RL</v>
          </cell>
          <cell r="R29">
            <v>3.9019599999999999</v>
          </cell>
          <cell r="S29" t="str">
            <v>M²</v>
          </cell>
          <cell r="T29">
            <v>29.264700000000001</v>
          </cell>
          <cell r="U29" t="str">
            <v>ROL</v>
          </cell>
          <cell r="W29">
            <v>0.13254280000000002</v>
          </cell>
          <cell r="X29" t="str">
            <v>M²</v>
          </cell>
          <cell r="Y29">
            <v>0.99407100000000004</v>
          </cell>
        </row>
        <row r="30">
          <cell r="B30">
            <v>10035562</v>
          </cell>
          <cell r="C30" t="str">
            <v>PARADIENE 35 S R4 5M</v>
          </cell>
          <cell r="D30">
            <v>5</v>
          </cell>
          <cell r="E30" t="str">
            <v>RL</v>
          </cell>
          <cell r="F30">
            <v>46.75</v>
          </cell>
          <cell r="G30" t="str">
            <v>ROL</v>
          </cell>
          <cell r="H30">
            <v>0.24210526315789471</v>
          </cell>
          <cell r="I30">
            <v>7.0863157894736846</v>
          </cell>
          <cell r="J30" t="str">
            <v>M²</v>
          </cell>
          <cell r="K30">
            <v>35.431578947368422</v>
          </cell>
          <cell r="L30" t="str">
            <v>ROL</v>
          </cell>
          <cell r="N30">
            <v>0.14548</v>
          </cell>
          <cell r="O30" t="str">
            <v>M2</v>
          </cell>
          <cell r="P30">
            <v>0.72740000000000005</v>
          </cell>
          <cell r="Q30" t="str">
            <v>€/RL</v>
          </cell>
          <cell r="R30">
            <v>7.2317957894736846</v>
          </cell>
          <cell r="S30" t="str">
            <v>M²</v>
          </cell>
          <cell r="T30">
            <v>36.158978947368425</v>
          </cell>
          <cell r="U30" t="str">
            <v>ROL</v>
          </cell>
          <cell r="W30">
            <v>0.1891188</v>
          </cell>
          <cell r="X30" t="str">
            <v>M²</v>
          </cell>
          <cell r="Y30">
            <v>0.94559400000000005</v>
          </cell>
        </row>
        <row r="31">
          <cell r="B31">
            <v>10035769</v>
          </cell>
          <cell r="C31" t="str">
            <v>TERANAP BANDE COUVRE-JOINT 200</v>
          </cell>
          <cell r="D31">
            <v>2</v>
          </cell>
          <cell r="E31" t="str">
            <v>RL</v>
          </cell>
          <cell r="F31">
            <v>22.54</v>
          </cell>
          <cell r="G31" t="str">
            <v>ROL</v>
          </cell>
          <cell r="H31">
            <v>0.24251622845934706</v>
          </cell>
          <cell r="I31">
            <v>8.5368421052631582</v>
          </cell>
          <cell r="J31" t="str">
            <v>M²</v>
          </cell>
          <cell r="K31">
            <v>17.073684210526316</v>
          </cell>
          <cell r="L31" t="str">
            <v>ROL</v>
          </cell>
          <cell r="N31">
            <v>0.15442500000000001</v>
          </cell>
          <cell r="O31" t="str">
            <v>M2</v>
          </cell>
          <cell r="P31">
            <v>0.30885000000000001</v>
          </cell>
          <cell r="Q31" t="str">
            <v>€/RL</v>
          </cell>
          <cell r="R31">
            <v>8.691267105263158</v>
          </cell>
          <cell r="S31" t="str">
            <v>M²</v>
          </cell>
          <cell r="T31">
            <v>17.382534210526316</v>
          </cell>
          <cell r="U31" t="str">
            <v>ROL</v>
          </cell>
          <cell r="W31">
            <v>0.2007525</v>
          </cell>
          <cell r="X31" t="str">
            <v>M²</v>
          </cell>
          <cell r="Y31">
            <v>0.401505</v>
          </cell>
        </row>
        <row r="32">
          <cell r="B32">
            <v>10035775</v>
          </cell>
          <cell r="C32" t="str">
            <v>TERANAP JS 1X8M FILM/FILM</v>
          </cell>
          <cell r="D32">
            <v>8</v>
          </cell>
          <cell r="E32" t="str">
            <v>RL</v>
          </cell>
          <cell r="F32">
            <v>76.08</v>
          </cell>
          <cell r="G32" t="str">
            <v>ROL</v>
          </cell>
          <cell r="H32">
            <v>0.24179534008522885</v>
          </cell>
          <cell r="I32">
            <v>7.2105263157894735</v>
          </cell>
          <cell r="J32" t="str">
            <v>M²</v>
          </cell>
          <cell r="K32">
            <v>57.684210526315788</v>
          </cell>
          <cell r="L32" t="str">
            <v>ROL</v>
          </cell>
          <cell r="N32">
            <v>0.14542875</v>
          </cell>
          <cell r="O32" t="str">
            <v>M2</v>
          </cell>
          <cell r="P32">
            <v>1.16343</v>
          </cell>
          <cell r="Q32" t="str">
            <v>€/RL</v>
          </cell>
          <cell r="R32">
            <v>7.3559550657894732</v>
          </cell>
          <cell r="S32" t="str">
            <v>M²</v>
          </cell>
          <cell r="T32">
            <v>58.847640526315786</v>
          </cell>
          <cell r="U32" t="str">
            <v>ROL</v>
          </cell>
          <cell r="W32">
            <v>0.18907199999999999</v>
          </cell>
          <cell r="X32" t="str">
            <v>M²</v>
          </cell>
          <cell r="Y32">
            <v>1.5125759999999999</v>
          </cell>
        </row>
        <row r="33">
          <cell r="B33">
            <v>10035718</v>
          </cell>
          <cell r="C33" t="str">
            <v>SIPLAST PRIMER 10 L</v>
          </cell>
          <cell r="D33">
            <v>10</v>
          </cell>
          <cell r="E33" t="str">
            <v>L</v>
          </cell>
          <cell r="F33">
            <v>40.700000000000003</v>
          </cell>
          <cell r="G33" t="str">
            <v>JER</v>
          </cell>
          <cell r="H33">
            <v>0.19306866675287726</v>
          </cell>
          <cell r="I33">
            <v>3.2842105263157899</v>
          </cell>
          <cell r="J33" t="str">
            <v>L</v>
          </cell>
          <cell r="K33">
            <v>32.842105263157897</v>
          </cell>
          <cell r="L33" t="str">
            <v>JER</v>
          </cell>
          <cell r="N33">
            <v>0</v>
          </cell>
          <cell r="O33" t="str">
            <v xml:space="preserve"> </v>
          </cell>
          <cell r="R33">
            <v>3.2842105263157899</v>
          </cell>
          <cell r="S33" t="str">
            <v>L</v>
          </cell>
          <cell r="T33">
            <v>32.842105263157897</v>
          </cell>
          <cell r="U33" t="str">
            <v>JER</v>
          </cell>
        </row>
        <row r="34">
          <cell r="B34">
            <v>10038554</v>
          </cell>
          <cell r="C34" t="str">
            <v>SIPLAST PRIMER 25 L</v>
          </cell>
          <cell r="D34">
            <v>25</v>
          </cell>
          <cell r="E34" t="str">
            <v>L</v>
          </cell>
          <cell r="F34">
            <v>105</v>
          </cell>
          <cell r="G34" t="str">
            <v>JER</v>
          </cell>
          <cell r="H34">
            <v>0.24210526315789471</v>
          </cell>
          <cell r="I34">
            <v>3.1831578947368424</v>
          </cell>
          <cell r="J34" t="str">
            <v>L</v>
          </cell>
          <cell r="K34">
            <v>79.578947368421055</v>
          </cell>
          <cell r="L34" t="str">
            <v>JER</v>
          </cell>
          <cell r="N34">
            <v>0</v>
          </cell>
          <cell r="O34" t="str">
            <v xml:space="preserve"> </v>
          </cell>
          <cell r="R34">
            <v>3.1831578947368424</v>
          </cell>
          <cell r="S34" t="str">
            <v>L</v>
          </cell>
          <cell r="T34">
            <v>79.578947368421055</v>
          </cell>
          <cell r="U34" t="str">
            <v>JER</v>
          </cell>
        </row>
      </sheetData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PN"/>
      <sheetName val="Comparatif Mat CBE"/>
    </sheetNames>
    <sheetDataSet>
      <sheetData sheetId="0">
        <row r="1">
          <cell r="A1" t="str">
            <v>Réf. RAMERY</v>
          </cell>
          <cell r="B1" t="str">
            <v>Famille</v>
          </cell>
          <cell r="C1" t="str">
            <v>Sous famille</v>
          </cell>
          <cell r="D1" t="str">
            <v>Libellé article</v>
          </cell>
        </row>
        <row r="2">
          <cell r="A2" t="str">
            <v>MCBE0212</v>
          </cell>
          <cell r="B2" t="str">
            <v>AMENAGEMENT DES TERASSES</v>
          </cell>
          <cell r="C2" t="str">
            <v>AGREGATS</v>
          </cell>
          <cell r="D2" t="str">
            <v>BIG BAG PP 750L  3/4M3 1500KG</v>
          </cell>
        </row>
        <row r="3">
          <cell r="A3" t="str">
            <v>MCBE0212</v>
          </cell>
          <cell r="B3" t="str">
            <v>AMENAGEMENT DES TERASSES</v>
          </cell>
          <cell r="C3" t="str">
            <v>AGREGATS</v>
          </cell>
          <cell r="D3" t="str">
            <v>BIG BAG PP 750L  3/4M3 1500KG</v>
          </cell>
        </row>
        <row r="4">
          <cell r="A4" t="str">
            <v>MCBE0212</v>
          </cell>
          <cell r="B4" t="str">
            <v>AMENAGEMENT DES TERASSES</v>
          </cell>
          <cell r="C4" t="str">
            <v>AGREGATS</v>
          </cell>
          <cell r="D4" t="str">
            <v>BIG BAG PP 750L  3/4M3 1500KG</v>
          </cell>
        </row>
        <row r="5">
          <cell r="A5" t="str">
            <v>MCBE0212</v>
          </cell>
          <cell r="B5" t="str">
            <v>AMENAGEMENT DES TERASSES</v>
          </cell>
          <cell r="C5" t="str">
            <v>AGREGATS</v>
          </cell>
          <cell r="D5" t="str">
            <v>BIG BAG PP 750L  3/4M3 1500KG</v>
          </cell>
        </row>
        <row r="6">
          <cell r="A6" t="str">
            <v>MCBE0213</v>
          </cell>
          <cell r="B6" t="str">
            <v>AMENAGEMENT DES TERASSES</v>
          </cell>
          <cell r="C6" t="str">
            <v>AGREGATS</v>
          </cell>
          <cell r="D6" t="str">
            <v>SABLE 0/4</v>
          </cell>
        </row>
        <row r="7">
          <cell r="A7" t="str">
            <v>MCBE0213</v>
          </cell>
          <cell r="B7" t="str">
            <v>AMENAGEMENT DES TERASSES</v>
          </cell>
          <cell r="C7" t="str">
            <v>AGREGATS</v>
          </cell>
          <cell r="D7" t="str">
            <v>SABLE 0/4</v>
          </cell>
        </row>
        <row r="8">
          <cell r="A8" t="str">
            <v>MCBE0213</v>
          </cell>
          <cell r="B8" t="str">
            <v>AMENAGEMENT DES TERASSES</v>
          </cell>
          <cell r="C8" t="str">
            <v>AGREGATS</v>
          </cell>
          <cell r="D8" t="str">
            <v>SABLE 0/4</v>
          </cell>
        </row>
        <row r="9">
          <cell r="A9" t="str">
            <v>MCBE0213</v>
          </cell>
          <cell r="B9" t="str">
            <v>AMENAGEMENT DES TERASSES</v>
          </cell>
          <cell r="C9" t="str">
            <v>AGREGATS</v>
          </cell>
          <cell r="D9" t="str">
            <v>SABLE 0/4</v>
          </cell>
        </row>
        <row r="10">
          <cell r="A10" t="str">
            <v>MCBE0214</v>
          </cell>
          <cell r="B10" t="str">
            <v>AMENAGEMENT DES TERASSES</v>
          </cell>
          <cell r="C10" t="str">
            <v>AGREGATS</v>
          </cell>
          <cell r="D10" t="str">
            <v>SABLE  0/2</v>
          </cell>
        </row>
        <row r="11">
          <cell r="A11" t="str">
            <v>MCBE0214</v>
          </cell>
          <cell r="B11" t="str">
            <v>AMENAGEMENT DES TERASSES</v>
          </cell>
          <cell r="C11" t="str">
            <v>AGREGATS</v>
          </cell>
          <cell r="D11" t="str">
            <v>SABLE  0/2</v>
          </cell>
        </row>
        <row r="12">
          <cell r="A12" t="str">
            <v>MCBE0214</v>
          </cell>
          <cell r="B12" t="str">
            <v>AMENAGEMENT DES TERASSES</v>
          </cell>
          <cell r="C12" t="str">
            <v>AGREGATS</v>
          </cell>
          <cell r="D12" t="str">
            <v>SABLE  0/2</v>
          </cell>
        </row>
        <row r="13">
          <cell r="A13" t="str">
            <v>MCBE0214</v>
          </cell>
          <cell r="B13" t="str">
            <v>AMENAGEMENT DES TERASSES</v>
          </cell>
          <cell r="C13" t="str">
            <v>AGREGATS</v>
          </cell>
          <cell r="D13" t="str">
            <v>SABLE  0/2</v>
          </cell>
        </row>
        <row r="14">
          <cell r="A14" t="str">
            <v>MCBE0215</v>
          </cell>
          <cell r="B14" t="str">
            <v>AMENAGEMENT DES TERASSES</v>
          </cell>
          <cell r="C14" t="str">
            <v>AGREGATS</v>
          </cell>
          <cell r="D14" t="str">
            <v xml:space="preserve">SABLE 0/1 </v>
          </cell>
        </row>
        <row r="15">
          <cell r="A15" t="str">
            <v>MCBE0215</v>
          </cell>
          <cell r="B15" t="str">
            <v>AMENAGEMENT DES TERASSES</v>
          </cell>
          <cell r="C15" t="str">
            <v>AGREGATS</v>
          </cell>
          <cell r="D15" t="str">
            <v xml:space="preserve">SABLE 0/1 </v>
          </cell>
        </row>
        <row r="16">
          <cell r="A16" t="str">
            <v>MCBE0215</v>
          </cell>
          <cell r="B16" t="str">
            <v>AMENAGEMENT DES TERASSES</v>
          </cell>
          <cell r="C16" t="str">
            <v>AGREGATS</v>
          </cell>
          <cell r="D16" t="str">
            <v xml:space="preserve">SABLE 0/1 </v>
          </cell>
        </row>
        <row r="17">
          <cell r="A17" t="str">
            <v>MCBE0215</v>
          </cell>
          <cell r="B17" t="str">
            <v>AMENAGEMENT DES TERASSES</v>
          </cell>
          <cell r="C17" t="str">
            <v>AGREGATS</v>
          </cell>
          <cell r="D17" t="str">
            <v xml:space="preserve">SABLE 0/1 </v>
          </cell>
        </row>
        <row r="18">
          <cell r="A18" t="str">
            <v>MCBE0216</v>
          </cell>
          <cell r="B18" t="str">
            <v>AMENAGEMENT DES TERASSES</v>
          </cell>
          <cell r="C18" t="str">
            <v>AGREGATS</v>
          </cell>
          <cell r="D18" t="str">
            <v>SABLE 0/4</v>
          </cell>
        </row>
        <row r="19">
          <cell r="A19" t="str">
            <v>MCBE0216</v>
          </cell>
          <cell r="B19" t="str">
            <v>AMENAGEMENT DES TERASSES</v>
          </cell>
          <cell r="C19" t="str">
            <v>AGREGATS</v>
          </cell>
          <cell r="D19" t="str">
            <v>SABLE 0/4</v>
          </cell>
        </row>
        <row r="20">
          <cell r="A20" t="str">
            <v>MCBE0216</v>
          </cell>
          <cell r="B20" t="str">
            <v>AMENAGEMENT DES TERASSES</v>
          </cell>
          <cell r="C20" t="str">
            <v>AGREGATS</v>
          </cell>
          <cell r="D20" t="str">
            <v>SABLE 0/4</v>
          </cell>
        </row>
        <row r="21">
          <cell r="A21" t="str">
            <v>MCBE0216</v>
          </cell>
          <cell r="B21" t="str">
            <v>AMENAGEMENT DES TERASSES</v>
          </cell>
          <cell r="C21" t="str">
            <v>AGREGATS</v>
          </cell>
          <cell r="D21" t="str">
            <v>SABLE 0/4</v>
          </cell>
        </row>
        <row r="22">
          <cell r="A22" t="str">
            <v>MCBE0217</v>
          </cell>
          <cell r="B22" t="str">
            <v>AMENAGEMENT DES TERASSES</v>
          </cell>
          <cell r="C22" t="str">
            <v>AGREGATS</v>
          </cell>
          <cell r="D22" t="str">
            <v>SABLE  0/2</v>
          </cell>
        </row>
        <row r="23">
          <cell r="A23" t="str">
            <v>MCBE0217</v>
          </cell>
          <cell r="B23" t="str">
            <v>AMENAGEMENT DES TERASSES</v>
          </cell>
          <cell r="C23" t="str">
            <v>AGREGATS</v>
          </cell>
          <cell r="D23" t="str">
            <v>SABLE  0/2</v>
          </cell>
        </row>
        <row r="24">
          <cell r="A24" t="str">
            <v>MCBE0217</v>
          </cell>
          <cell r="B24" t="str">
            <v>AMENAGEMENT DES TERASSES</v>
          </cell>
          <cell r="C24" t="str">
            <v>AGREGATS</v>
          </cell>
          <cell r="D24" t="str">
            <v>SABLE  0/2</v>
          </cell>
        </row>
        <row r="25">
          <cell r="A25" t="str">
            <v>MCBE0217</v>
          </cell>
          <cell r="B25" t="str">
            <v>AMENAGEMENT DES TERASSES</v>
          </cell>
          <cell r="C25" t="str">
            <v>AGREGATS</v>
          </cell>
          <cell r="D25" t="str">
            <v>SABLE  0/2</v>
          </cell>
        </row>
        <row r="26">
          <cell r="A26" t="str">
            <v>MCBE0218</v>
          </cell>
          <cell r="B26" t="str">
            <v>AMENAGEMENT DES TERASSES</v>
          </cell>
          <cell r="C26" t="str">
            <v>AGREGATS</v>
          </cell>
          <cell r="D26" t="str">
            <v xml:space="preserve">SABLE 0/1 </v>
          </cell>
        </row>
        <row r="27">
          <cell r="A27" t="str">
            <v>MCBE0218</v>
          </cell>
          <cell r="B27" t="str">
            <v>AMENAGEMENT DES TERASSES</v>
          </cell>
          <cell r="C27" t="str">
            <v>AGREGATS</v>
          </cell>
          <cell r="D27" t="str">
            <v xml:space="preserve">SABLE 0/1 </v>
          </cell>
        </row>
        <row r="28">
          <cell r="A28" t="str">
            <v>MCBE0218</v>
          </cell>
          <cell r="B28" t="str">
            <v>AMENAGEMENT DES TERASSES</v>
          </cell>
          <cell r="C28" t="str">
            <v>AGREGATS</v>
          </cell>
          <cell r="D28" t="str">
            <v xml:space="preserve">SABLE 0/1 </v>
          </cell>
        </row>
        <row r="29">
          <cell r="A29" t="str">
            <v>MCBE0218</v>
          </cell>
          <cell r="B29" t="str">
            <v>AMENAGEMENT DES TERASSES</v>
          </cell>
          <cell r="C29" t="str">
            <v>AGREGATS</v>
          </cell>
          <cell r="D29" t="str">
            <v xml:space="preserve">SABLE 0/1 </v>
          </cell>
        </row>
        <row r="30">
          <cell r="A30" t="str">
            <v>MCBE0219</v>
          </cell>
          <cell r="B30" t="str">
            <v>AMENAGEMENT DES TERASSES</v>
          </cell>
          <cell r="C30" t="str">
            <v>DALLE BETON</v>
          </cell>
          <cell r="D30" t="str">
            <v xml:space="preserve">Dalle béton grise 50 x 50  </v>
          </cell>
        </row>
        <row r="31">
          <cell r="A31" t="str">
            <v>MCBE0219</v>
          </cell>
          <cell r="B31" t="str">
            <v>AMENAGEMENT DES TERASSES</v>
          </cell>
          <cell r="C31" t="str">
            <v>DALLE BETON</v>
          </cell>
          <cell r="D31" t="str">
            <v xml:space="preserve">Dalle béton grise 50 x 50  </v>
          </cell>
        </row>
        <row r="32">
          <cell r="A32" t="str">
            <v>MCBE0219</v>
          </cell>
          <cell r="B32" t="str">
            <v>AMENAGEMENT DES TERASSES</v>
          </cell>
          <cell r="C32" t="str">
            <v>DALLE BETON</v>
          </cell>
          <cell r="D32" t="str">
            <v xml:space="preserve">Dalle béton grise 50 x 50  </v>
          </cell>
        </row>
        <row r="33">
          <cell r="A33" t="str">
            <v>MCBE0219</v>
          </cell>
          <cell r="B33" t="str">
            <v>AMENAGEMENT DES TERASSES</v>
          </cell>
          <cell r="C33" t="str">
            <v>DALLE BETON</v>
          </cell>
          <cell r="D33" t="str">
            <v xml:space="preserve">Dalle béton grise 50 x 50  </v>
          </cell>
        </row>
        <row r="34">
          <cell r="A34" t="str">
            <v>MCBE0220</v>
          </cell>
          <cell r="B34" t="str">
            <v>AMENAGEMENT DES TERASSES</v>
          </cell>
          <cell r="C34" t="str">
            <v>DALLE BETON</v>
          </cell>
          <cell r="D34" t="str">
            <v xml:space="preserve">Dalle béton grise 40 x 40 </v>
          </cell>
        </row>
        <row r="35">
          <cell r="A35" t="str">
            <v>MCBE0220</v>
          </cell>
          <cell r="B35" t="str">
            <v>AMENAGEMENT DES TERASSES</v>
          </cell>
          <cell r="C35" t="str">
            <v>DALLE BETON</v>
          </cell>
          <cell r="D35" t="str">
            <v xml:space="preserve">Dalle béton grise 40 x 40 </v>
          </cell>
        </row>
        <row r="36">
          <cell r="A36" t="str">
            <v>MCBE0220</v>
          </cell>
          <cell r="B36" t="str">
            <v>AMENAGEMENT DES TERASSES</v>
          </cell>
          <cell r="C36" t="str">
            <v>DALLE BETON</v>
          </cell>
          <cell r="D36" t="str">
            <v xml:space="preserve">Dalle béton grise 40 x 40 </v>
          </cell>
        </row>
        <row r="37">
          <cell r="A37" t="str">
            <v>MCBE0220</v>
          </cell>
          <cell r="B37" t="str">
            <v>AMENAGEMENT DES TERASSES</v>
          </cell>
          <cell r="C37" t="str">
            <v>DALLE BETON</v>
          </cell>
          <cell r="D37" t="str">
            <v xml:space="preserve">Dalle béton grise 40 x 40 </v>
          </cell>
        </row>
        <row r="38">
          <cell r="A38" t="str">
            <v>MCBE0221</v>
          </cell>
          <cell r="B38" t="str">
            <v>AMENAGEMENT DES TERASSES</v>
          </cell>
          <cell r="C38" t="str">
            <v>DALLE BETON</v>
          </cell>
          <cell r="D38" t="str">
            <v xml:space="preserve">Dalle béton blanche 50 x 50  </v>
          </cell>
        </row>
        <row r="39">
          <cell r="A39" t="str">
            <v>MCBE0221</v>
          </cell>
          <cell r="B39" t="str">
            <v>AMENAGEMENT DES TERASSES</v>
          </cell>
          <cell r="C39" t="str">
            <v>DALLE BETON</v>
          </cell>
          <cell r="D39" t="str">
            <v xml:space="preserve">Dalle béton blanche 50 x 50  </v>
          </cell>
        </row>
        <row r="40">
          <cell r="A40" t="str">
            <v>MCBE0221</v>
          </cell>
          <cell r="B40" t="str">
            <v>AMENAGEMENT DES TERASSES</v>
          </cell>
          <cell r="C40" t="str">
            <v>DALLE BETON</v>
          </cell>
          <cell r="D40" t="str">
            <v xml:space="preserve">Dalle béton blanche 50 x 50  </v>
          </cell>
        </row>
        <row r="41">
          <cell r="A41" t="str">
            <v>MCBE0221</v>
          </cell>
          <cell r="B41" t="str">
            <v>AMENAGEMENT DES TERASSES</v>
          </cell>
          <cell r="C41" t="str">
            <v>DALLE BETON</v>
          </cell>
          <cell r="D41" t="str">
            <v xml:space="preserve">Dalle béton blanche 50 x 50  </v>
          </cell>
        </row>
        <row r="42">
          <cell r="A42" t="str">
            <v>MCBE0222</v>
          </cell>
          <cell r="B42" t="str">
            <v>AMENAGEMENT DES TERASSES</v>
          </cell>
          <cell r="C42" t="str">
            <v>DALLE BETON</v>
          </cell>
          <cell r="D42" t="str">
            <v xml:space="preserve">Dalle béton blanche 40 x 40 </v>
          </cell>
        </row>
        <row r="43">
          <cell r="A43" t="str">
            <v>MCBE0222</v>
          </cell>
          <cell r="B43" t="str">
            <v>AMENAGEMENT DES TERASSES</v>
          </cell>
          <cell r="C43" t="str">
            <v>DALLE BETON</v>
          </cell>
          <cell r="D43" t="str">
            <v xml:space="preserve">Dalle béton blanche 40 x 40 </v>
          </cell>
        </row>
        <row r="44">
          <cell r="A44" t="str">
            <v>MCBE0222</v>
          </cell>
          <cell r="B44" t="str">
            <v>AMENAGEMENT DES TERASSES</v>
          </cell>
          <cell r="C44" t="str">
            <v>DALLE BETON</v>
          </cell>
          <cell r="D44" t="str">
            <v xml:space="preserve">Dalle béton blanche 40 x 40 </v>
          </cell>
        </row>
        <row r="45">
          <cell r="A45" t="str">
            <v>MCBE0222</v>
          </cell>
          <cell r="B45" t="str">
            <v>AMENAGEMENT DES TERASSES</v>
          </cell>
          <cell r="C45" t="str">
            <v>DALLE BETON</v>
          </cell>
          <cell r="D45" t="str">
            <v xml:space="preserve">Dalle béton blanche 40 x 40 </v>
          </cell>
        </row>
        <row r="46">
          <cell r="A46" t="str">
            <v>MCBE0223</v>
          </cell>
          <cell r="B46" t="str">
            <v>AMENAGEMENT DES TERASSES</v>
          </cell>
          <cell r="C46" t="str">
            <v>PLOTS POUR DALLES</v>
          </cell>
          <cell r="D46" t="str">
            <v>PLOT REGLABLE 25-40</v>
          </cell>
        </row>
        <row r="47">
          <cell r="A47" t="str">
            <v>MCBE0223</v>
          </cell>
          <cell r="B47" t="str">
            <v>AMENAGEMENT DES TERASSES</v>
          </cell>
          <cell r="C47" t="str">
            <v>PLOTS POUR DALLES</v>
          </cell>
          <cell r="D47" t="str">
            <v>PLOT REGLABLE 25-40</v>
          </cell>
        </row>
        <row r="48">
          <cell r="A48" t="str">
            <v>MCBE0223</v>
          </cell>
          <cell r="B48" t="str">
            <v>AMENAGEMENT DES TERASSES</v>
          </cell>
          <cell r="C48" t="str">
            <v>PLOTS POUR DALLES</v>
          </cell>
          <cell r="D48" t="str">
            <v>PLOT REGLABLE 25-40</v>
          </cell>
        </row>
        <row r="49">
          <cell r="A49" t="str">
            <v>MCBE0223</v>
          </cell>
          <cell r="B49" t="str">
            <v>AMENAGEMENT DES TERASSES</v>
          </cell>
          <cell r="C49" t="str">
            <v>PLOTS POUR DALLES</v>
          </cell>
          <cell r="D49" t="str">
            <v>PLOT REGLABLE 25-40</v>
          </cell>
        </row>
        <row r="50">
          <cell r="A50" t="str">
            <v>MCBE0223</v>
          </cell>
          <cell r="B50" t="str">
            <v>AMENAGEMENT DES TERASSES</v>
          </cell>
          <cell r="C50" t="str">
            <v>PLOTS POUR DALLES</v>
          </cell>
          <cell r="D50" t="str">
            <v>PLOT REGLABLE 25-40</v>
          </cell>
        </row>
        <row r="51">
          <cell r="A51" t="str">
            <v>MCBE0224</v>
          </cell>
          <cell r="B51" t="str">
            <v>AMENAGEMENT DES TERASSES</v>
          </cell>
          <cell r="C51" t="str">
            <v>PLOTS POUR DALLES</v>
          </cell>
          <cell r="D51" t="str">
            <v>PLOT REGLABLE 40-60</v>
          </cell>
        </row>
        <row r="52">
          <cell r="A52" t="str">
            <v>MCBE0224</v>
          </cell>
          <cell r="B52" t="str">
            <v>AMENAGEMENT DES TERASSES</v>
          </cell>
          <cell r="C52" t="str">
            <v>PLOTS POUR DALLES</v>
          </cell>
          <cell r="D52" t="str">
            <v>PLOT REGLABLE 40-60</v>
          </cell>
        </row>
        <row r="53">
          <cell r="A53" t="str">
            <v>MCBE0224</v>
          </cell>
          <cell r="B53" t="str">
            <v>AMENAGEMENT DES TERASSES</v>
          </cell>
          <cell r="C53" t="str">
            <v>PLOTS POUR DALLES</v>
          </cell>
          <cell r="D53" t="str">
            <v>PLOT REGLABLE 40-60</v>
          </cell>
        </row>
        <row r="54">
          <cell r="A54" t="str">
            <v>MCBE0224</v>
          </cell>
          <cell r="B54" t="str">
            <v>AMENAGEMENT DES TERASSES</v>
          </cell>
          <cell r="C54" t="str">
            <v>PLOTS POUR DALLES</v>
          </cell>
          <cell r="D54" t="str">
            <v>PLOT REGLABLE 40-60</v>
          </cell>
        </row>
        <row r="55">
          <cell r="A55" t="str">
            <v>MCBE0224</v>
          </cell>
          <cell r="B55" t="str">
            <v>AMENAGEMENT DES TERASSES</v>
          </cell>
          <cell r="C55" t="str">
            <v>PLOTS POUR DALLES</v>
          </cell>
          <cell r="D55" t="str">
            <v>PLOT REGLABLE 40-60</v>
          </cell>
        </row>
        <row r="56">
          <cell r="A56" t="str">
            <v>MCBE0224</v>
          </cell>
          <cell r="B56" t="str">
            <v>AMENAGEMENT DES TERASSES</v>
          </cell>
          <cell r="C56" t="str">
            <v>PLOTS POUR DALLES</v>
          </cell>
          <cell r="D56" t="str">
            <v>PLOT REGLABLE 40-60</v>
          </cell>
        </row>
        <row r="57">
          <cell r="A57" t="str">
            <v>MCBE0225</v>
          </cell>
          <cell r="B57" t="str">
            <v>AMENAGEMENT DES TERASSES</v>
          </cell>
          <cell r="C57" t="str">
            <v>PLOTS POUR DALLES</v>
          </cell>
          <cell r="D57" t="str">
            <v>PLOT REGLABLE 60-90</v>
          </cell>
        </row>
        <row r="58">
          <cell r="A58" t="str">
            <v>MCBE0225</v>
          </cell>
          <cell r="B58" t="str">
            <v>AMENAGEMENT DES TERASSES</v>
          </cell>
          <cell r="C58" t="str">
            <v>PLOTS POUR DALLES</v>
          </cell>
          <cell r="D58" t="str">
            <v>PLOT REGLABLE 60-90</v>
          </cell>
        </row>
        <row r="59">
          <cell r="A59" t="str">
            <v>MCBE0225</v>
          </cell>
          <cell r="B59" t="str">
            <v>AMENAGEMENT DES TERASSES</v>
          </cell>
          <cell r="C59" t="str">
            <v>PLOTS POUR DALLES</v>
          </cell>
          <cell r="D59" t="str">
            <v>PLOT REGLABLE 60-90</v>
          </cell>
        </row>
        <row r="60">
          <cell r="A60" t="str">
            <v>MCBE0225</v>
          </cell>
          <cell r="B60" t="str">
            <v>AMENAGEMENT DES TERASSES</v>
          </cell>
          <cell r="C60" t="str">
            <v>PLOTS POUR DALLES</v>
          </cell>
          <cell r="D60" t="str">
            <v>PLOT REGLABLE 60-90</v>
          </cell>
        </row>
        <row r="61">
          <cell r="A61" t="str">
            <v>MCBE0225</v>
          </cell>
          <cell r="B61" t="str">
            <v>AMENAGEMENT DES TERASSES</v>
          </cell>
          <cell r="C61" t="str">
            <v>PLOTS POUR DALLES</v>
          </cell>
          <cell r="D61" t="str">
            <v>PLOT REGLABLE 60-90</v>
          </cell>
        </row>
        <row r="62">
          <cell r="A62" t="str">
            <v>MCBE0225</v>
          </cell>
          <cell r="B62" t="str">
            <v>AMENAGEMENT DES TERASSES</v>
          </cell>
          <cell r="C62" t="str">
            <v>PLOTS POUR DALLES</v>
          </cell>
          <cell r="D62" t="str">
            <v>PLOT REGLABLE 60-90</v>
          </cell>
        </row>
        <row r="63">
          <cell r="A63" t="str">
            <v>MCBE0226</v>
          </cell>
          <cell r="B63" t="str">
            <v>AMENAGEMENT DES TERASSES</v>
          </cell>
          <cell r="C63" t="str">
            <v>PLOTS POUR DALLES</v>
          </cell>
          <cell r="D63" t="str">
            <v>PLOT REGLABLE 90-150</v>
          </cell>
        </row>
        <row r="64">
          <cell r="A64" t="str">
            <v>MCBE0226</v>
          </cell>
          <cell r="B64" t="str">
            <v>AMENAGEMENT DES TERASSES</v>
          </cell>
          <cell r="C64" t="str">
            <v>PLOTS POUR DALLES</v>
          </cell>
          <cell r="D64" t="str">
            <v>PLOT REGLABLE 90-150</v>
          </cell>
        </row>
        <row r="65">
          <cell r="A65" t="str">
            <v>MCBE0226</v>
          </cell>
          <cell r="B65" t="str">
            <v>AMENAGEMENT DES TERASSES</v>
          </cell>
          <cell r="C65" t="str">
            <v>PLOTS POUR DALLES</v>
          </cell>
          <cell r="D65" t="str">
            <v>PLOT REGLABLE 90-150</v>
          </cell>
        </row>
        <row r="66">
          <cell r="A66" t="str">
            <v>MCBE0226</v>
          </cell>
          <cell r="B66" t="str">
            <v>AMENAGEMENT DES TERASSES</v>
          </cell>
          <cell r="C66" t="str">
            <v>PLOTS POUR DALLES</v>
          </cell>
          <cell r="D66" t="str">
            <v>PLOT REGLABLE 90-150</v>
          </cell>
        </row>
        <row r="67">
          <cell r="A67" t="str">
            <v>MCBE0226</v>
          </cell>
          <cell r="B67" t="str">
            <v>AMENAGEMENT DES TERASSES</v>
          </cell>
          <cell r="C67" t="str">
            <v>PLOTS POUR DALLES</v>
          </cell>
          <cell r="D67" t="str">
            <v>PLOT REGLABLE 90-150</v>
          </cell>
        </row>
        <row r="68">
          <cell r="A68" t="str">
            <v>MCBE0226</v>
          </cell>
          <cell r="B68" t="str">
            <v>AMENAGEMENT DES TERASSES</v>
          </cell>
          <cell r="C68" t="str">
            <v>PLOTS POUR DALLES</v>
          </cell>
          <cell r="D68" t="str">
            <v>PLOT REGLABLE 90-150</v>
          </cell>
        </row>
        <row r="69">
          <cell r="A69" t="str">
            <v>MCBE0227</v>
          </cell>
          <cell r="B69" t="str">
            <v>AMENAGEMENT DES TERASSES</v>
          </cell>
          <cell r="C69" t="str">
            <v>PLOTS POUR DALLES</v>
          </cell>
          <cell r="D69" t="str">
            <v>PLOT REGLABLE 140-230</v>
          </cell>
        </row>
        <row r="70">
          <cell r="A70" t="str">
            <v>MCBE0227</v>
          </cell>
          <cell r="B70" t="str">
            <v>AMENAGEMENT DES TERASSES</v>
          </cell>
          <cell r="C70" t="str">
            <v>PLOTS POUR DALLES</v>
          </cell>
          <cell r="D70" t="str">
            <v>PLOT REGLABLE 140-230</v>
          </cell>
        </row>
        <row r="71">
          <cell r="A71" t="str">
            <v>MCBE0227</v>
          </cell>
          <cell r="B71" t="str">
            <v>AMENAGEMENT DES TERASSES</v>
          </cell>
          <cell r="C71" t="str">
            <v>PLOTS POUR DALLES</v>
          </cell>
          <cell r="D71" t="str">
            <v>PLOT REGLABLE 140-230</v>
          </cell>
        </row>
        <row r="72">
          <cell r="A72" t="str">
            <v>MCBE0227</v>
          </cell>
          <cell r="B72" t="str">
            <v>AMENAGEMENT DES TERASSES</v>
          </cell>
          <cell r="C72" t="str">
            <v>PLOTS POUR DALLES</v>
          </cell>
          <cell r="D72" t="str">
            <v>PLOT REGLABLE 140-230</v>
          </cell>
        </row>
        <row r="73">
          <cell r="A73" t="str">
            <v>MCBE0228</v>
          </cell>
          <cell r="B73" t="str">
            <v>AMENAGEMENT DES TERASSES</v>
          </cell>
          <cell r="C73" t="str">
            <v>PLOTS POUR DALLES</v>
          </cell>
          <cell r="D73" t="str">
            <v>PLOT REGLABLE 150-260</v>
          </cell>
        </row>
        <row r="74">
          <cell r="A74" t="str">
            <v>MCBE0228</v>
          </cell>
          <cell r="B74" t="str">
            <v>AMENAGEMENT DES TERASSES</v>
          </cell>
          <cell r="C74" t="str">
            <v>PLOTS POUR DALLES</v>
          </cell>
          <cell r="D74" t="str">
            <v>PLOT REGLABLE 150-260</v>
          </cell>
        </row>
        <row r="75">
          <cell r="A75" t="str">
            <v>MCBE0228</v>
          </cell>
          <cell r="B75" t="str">
            <v>AMENAGEMENT DES TERASSES</v>
          </cell>
          <cell r="C75" t="str">
            <v>PLOTS POUR DALLES</v>
          </cell>
          <cell r="D75" t="str">
            <v>PLOT REGLABLE 150-260</v>
          </cell>
        </row>
        <row r="76">
          <cell r="A76" t="str">
            <v>MCBE0228</v>
          </cell>
          <cell r="B76" t="str">
            <v>AMENAGEMENT DES TERASSES</v>
          </cell>
          <cell r="C76" t="str">
            <v>PLOTS POUR DALLES</v>
          </cell>
          <cell r="D76" t="str">
            <v>PLOT REGLABLE 150-260</v>
          </cell>
        </row>
        <row r="77">
          <cell r="A77" t="str">
            <v>MCBE0196</v>
          </cell>
          <cell r="B77" t="str">
            <v>Chimie du bâtiment</v>
          </cell>
          <cell r="C77" t="str">
            <v>BETON</v>
          </cell>
          <cell r="D77" t="str">
            <v>BETON TTE MACON C35/45 ULTIBAT 25KG</v>
          </cell>
        </row>
        <row r="78">
          <cell r="A78" t="str">
            <v>MCBE0196</v>
          </cell>
          <cell r="B78" t="str">
            <v>Chimie du bâtiment</v>
          </cell>
          <cell r="C78" t="str">
            <v>BETON</v>
          </cell>
          <cell r="D78" t="str">
            <v>BETON TTE MACON C35/45 ULTIBAT 25KG</v>
          </cell>
        </row>
        <row r="79">
          <cell r="A79" t="str">
            <v>MCBE0196</v>
          </cell>
          <cell r="B79" t="str">
            <v>Chimie du bâtiment</v>
          </cell>
          <cell r="C79" t="str">
            <v>BETON</v>
          </cell>
          <cell r="D79" t="str">
            <v>BETON TTE MACON C35/45 ULTIBAT 25KG</v>
          </cell>
        </row>
        <row r="80">
          <cell r="A80" t="str">
            <v>MCBE0196</v>
          </cell>
          <cell r="B80" t="str">
            <v>Chimie du bâtiment</v>
          </cell>
          <cell r="C80" t="str">
            <v>BETON</v>
          </cell>
          <cell r="D80" t="str">
            <v>BETON TTE MACON C35/45 ULTIBAT 25KG</v>
          </cell>
        </row>
        <row r="81">
          <cell r="A81" t="str">
            <v>MCBE0197</v>
          </cell>
          <cell r="B81" t="str">
            <v>Chimie du bâtiment</v>
          </cell>
          <cell r="C81" t="str">
            <v>CIMENT</v>
          </cell>
          <cell r="D81" t="str">
            <v>CEM II 32,5 CE/NF BATIR 25     25KG</v>
          </cell>
        </row>
        <row r="82">
          <cell r="A82" t="str">
            <v>MCBE0197</v>
          </cell>
          <cell r="B82" t="str">
            <v>Chimie du bâtiment</v>
          </cell>
          <cell r="C82" t="str">
            <v>CIMENT</v>
          </cell>
          <cell r="D82" t="str">
            <v>CEM II 32,5 CE/NF BATIR 25     25KG</v>
          </cell>
        </row>
        <row r="83">
          <cell r="A83" t="str">
            <v>MCBE0197</v>
          </cell>
          <cell r="B83" t="str">
            <v>Chimie du bâtiment</v>
          </cell>
          <cell r="C83" t="str">
            <v>CIMENT</v>
          </cell>
          <cell r="D83" t="str">
            <v>CEM II 32,5 CE/NF BATIR 25     25KG</v>
          </cell>
        </row>
        <row r="84">
          <cell r="A84" t="str">
            <v>MCBE0197</v>
          </cell>
          <cell r="B84" t="str">
            <v>Chimie du bâtiment</v>
          </cell>
          <cell r="C84" t="str">
            <v>CIMENT</v>
          </cell>
          <cell r="D84" t="str">
            <v>CEM II 32,5 CE/NF BATIR 25     25KG</v>
          </cell>
        </row>
        <row r="85">
          <cell r="A85" t="str">
            <v>MCBE0198</v>
          </cell>
          <cell r="B85" t="str">
            <v>Chimie du bâtiment</v>
          </cell>
          <cell r="C85" t="str">
            <v>RESINE D'ACCROCHAGE</v>
          </cell>
          <cell r="D85" t="str">
            <v>LANKOLATEX 751                   5L</v>
          </cell>
        </row>
        <row r="86">
          <cell r="A86" t="str">
            <v>MCBE0198</v>
          </cell>
          <cell r="B86" t="str">
            <v>Chimie du bâtiment</v>
          </cell>
          <cell r="C86" t="str">
            <v>RESINE D'ACCROCHAGE</v>
          </cell>
          <cell r="D86" t="str">
            <v>LANKOLATEX 751                   5L</v>
          </cell>
        </row>
        <row r="87">
          <cell r="A87" t="str">
            <v>MCBE0198</v>
          </cell>
          <cell r="B87" t="str">
            <v>Chimie du bâtiment</v>
          </cell>
          <cell r="C87" t="str">
            <v>RESINE D'ACCROCHAGE</v>
          </cell>
          <cell r="D87" t="str">
            <v>LANKOLATEX 751                   5L</v>
          </cell>
        </row>
        <row r="88">
          <cell r="A88" t="str">
            <v>MCBE0198</v>
          </cell>
          <cell r="B88" t="str">
            <v>Chimie du bâtiment</v>
          </cell>
          <cell r="C88" t="str">
            <v>RESINE D'ACCROCHAGE</v>
          </cell>
          <cell r="D88" t="str">
            <v>LANKOLATEX 751                   5L</v>
          </cell>
        </row>
        <row r="89">
          <cell r="A89" t="str">
            <v>MCBE0199</v>
          </cell>
          <cell r="B89" t="str">
            <v>Chimie du bâtiment</v>
          </cell>
          <cell r="C89" t="str">
            <v>MORTIER DE REPARATION PRISE RAPIDE</v>
          </cell>
          <cell r="D89" t="str">
            <v>LANKOREP FIN RAPIDE 770        25KG</v>
          </cell>
        </row>
        <row r="90">
          <cell r="A90" t="str">
            <v>MCBE0199</v>
          </cell>
          <cell r="B90" t="str">
            <v>Chimie du bâtiment</v>
          </cell>
          <cell r="C90" t="str">
            <v>MORTIER DE REPARATION PRISE RAPIDE</v>
          </cell>
          <cell r="D90" t="str">
            <v>LANKOREP FIN RAPIDE 770        25KG</v>
          </cell>
        </row>
        <row r="91">
          <cell r="A91" t="str">
            <v>MCBE0199</v>
          </cell>
          <cell r="B91" t="str">
            <v>Chimie du bâtiment</v>
          </cell>
          <cell r="C91" t="str">
            <v>MORTIER DE REPARATION PRISE RAPIDE</v>
          </cell>
          <cell r="D91" t="str">
            <v>LANKOREP FIN RAPIDE 770        25KG</v>
          </cell>
        </row>
        <row r="92">
          <cell r="A92" t="str">
            <v>MCBE0199</v>
          </cell>
          <cell r="B92" t="str">
            <v>Chimie du bâtiment</v>
          </cell>
          <cell r="C92" t="str">
            <v>MORTIER DE REPARATION PRISE RAPIDE</v>
          </cell>
          <cell r="D92" t="str">
            <v>LANKOREP FIN RAPIDE 770        25KG</v>
          </cell>
        </row>
        <row r="93">
          <cell r="A93" t="str">
            <v>MCBE0200</v>
          </cell>
          <cell r="B93" t="str">
            <v>Chimie du bâtiment</v>
          </cell>
          <cell r="C93" t="str">
            <v>MORTIER A LA CHAUX</v>
          </cell>
          <cell r="D93" t="str">
            <v>MORTIER CORTACEL - CEL TUILE BLANC</v>
          </cell>
        </row>
        <row r="94">
          <cell r="A94" t="str">
            <v>MCBE0200</v>
          </cell>
          <cell r="B94" t="str">
            <v>Chimie du bâtiment</v>
          </cell>
          <cell r="C94" t="str">
            <v>MORTIER A LA CHAUX</v>
          </cell>
          <cell r="D94" t="str">
            <v>MORTIER CORTACEL - CEL TUILE BLANC</v>
          </cell>
        </row>
        <row r="95">
          <cell r="A95" t="str">
            <v>MCBE0200</v>
          </cell>
          <cell r="B95" t="str">
            <v>Chimie du bâtiment</v>
          </cell>
          <cell r="C95" t="str">
            <v>MORTIER A LA CHAUX</v>
          </cell>
          <cell r="D95" t="str">
            <v>MORTIER CORTACEL - CEL TUILE BLANC</v>
          </cell>
        </row>
        <row r="96">
          <cell r="A96" t="str">
            <v>MCBE0200</v>
          </cell>
          <cell r="B96" t="str">
            <v>Chimie du bâtiment</v>
          </cell>
          <cell r="C96" t="str">
            <v>MORTIER A LA CHAUX</v>
          </cell>
          <cell r="D96" t="str">
            <v>MORTIER CORTACEL - CEL TUILE BLANC</v>
          </cell>
        </row>
        <row r="97">
          <cell r="A97" t="str">
            <v>MCBE0200</v>
          </cell>
          <cell r="B97" t="str">
            <v>Chimie du bâtiment</v>
          </cell>
          <cell r="C97" t="str">
            <v>MORTIER A LA CHAUX</v>
          </cell>
          <cell r="D97" t="str">
            <v>MORTIER CORTACEL - CEL TUILE BLANC</v>
          </cell>
        </row>
        <row r="98">
          <cell r="A98" t="str">
            <v>MCBE0200</v>
          </cell>
          <cell r="B98" t="str">
            <v>Chimie du bâtiment</v>
          </cell>
          <cell r="C98" t="str">
            <v>MORTIER A LA CHAUX</v>
          </cell>
          <cell r="D98" t="str">
            <v>MORTIER CORTACEL - CEL TUILE BLANC</v>
          </cell>
        </row>
        <row r="99">
          <cell r="A99" t="str">
            <v>MCBE0201</v>
          </cell>
          <cell r="B99" t="str">
            <v>Chimie du bâtiment</v>
          </cell>
          <cell r="C99" t="str">
            <v>MORTIER DE REPARATION PRISE NORMALE</v>
          </cell>
          <cell r="D99" t="str">
            <v>MORTIER LANKOREP FIN 730       25KG</v>
          </cell>
        </row>
        <row r="100">
          <cell r="A100" t="str">
            <v>MCBE0201</v>
          </cell>
          <cell r="B100" t="str">
            <v>Chimie du bâtiment</v>
          </cell>
          <cell r="C100" t="str">
            <v>MORTIER DE REPARATION PRISE NORMALE</v>
          </cell>
          <cell r="D100" t="str">
            <v>MORTIER LANKOREP FIN 730       25KG</v>
          </cell>
        </row>
        <row r="101">
          <cell r="A101" t="str">
            <v>MCBE0201</v>
          </cell>
          <cell r="B101" t="str">
            <v>Chimie du bâtiment</v>
          </cell>
          <cell r="C101" t="str">
            <v>MORTIER DE REPARATION PRISE NORMALE</v>
          </cell>
          <cell r="D101" t="str">
            <v>MORTIER LANKOREP FIN 730       25KG</v>
          </cell>
        </row>
        <row r="102">
          <cell r="A102" t="str">
            <v>MCBE0201</v>
          </cell>
          <cell r="B102" t="str">
            <v>Chimie du bâtiment</v>
          </cell>
          <cell r="C102" t="str">
            <v>MORTIER DE REPARATION PRISE NORMALE</v>
          </cell>
          <cell r="D102" t="str">
            <v>MORTIER LANKOREP FIN 730       25KG</v>
          </cell>
        </row>
        <row r="103">
          <cell r="A103" t="str">
            <v>MCBE0202</v>
          </cell>
          <cell r="B103" t="str">
            <v>Chimie du bâtiment</v>
          </cell>
          <cell r="C103" t="str">
            <v>MORTIER A LA CHAUX</v>
          </cell>
          <cell r="D103" t="str">
            <v>WEBER.CEL TUILE GRIS(CORTACEL) 25KG</v>
          </cell>
        </row>
        <row r="104">
          <cell r="A104" t="str">
            <v>MCBE0202</v>
          </cell>
          <cell r="B104" t="str">
            <v>Chimie du bâtiment</v>
          </cell>
          <cell r="C104" t="str">
            <v>MORTIER A LA CHAUX</v>
          </cell>
          <cell r="D104" t="str">
            <v>WEBER.CEL TUILE GRIS(CORTACEL) 25KG</v>
          </cell>
        </row>
        <row r="105">
          <cell r="A105" t="str">
            <v>MCBE0202</v>
          </cell>
          <cell r="B105" t="str">
            <v>Chimie du bâtiment</v>
          </cell>
          <cell r="C105" t="str">
            <v>MORTIER A LA CHAUX</v>
          </cell>
          <cell r="D105" t="str">
            <v>WEBER.CEL TUILE GRIS(CORTACEL) 25KG</v>
          </cell>
        </row>
        <row r="106">
          <cell r="A106" t="str">
            <v>MCBE0202</v>
          </cell>
          <cell r="B106" t="str">
            <v>Chimie du bâtiment</v>
          </cell>
          <cell r="C106" t="str">
            <v>MORTIER A LA CHAUX</v>
          </cell>
          <cell r="D106" t="str">
            <v>WEBER.CEL TUILE GRIS(CORTACEL) 25KG</v>
          </cell>
        </row>
        <row r="107">
          <cell r="A107" t="str">
            <v>MCBE0202</v>
          </cell>
          <cell r="B107" t="str">
            <v>Chimie du bâtiment</v>
          </cell>
          <cell r="C107" t="str">
            <v>MORTIER A LA CHAUX</v>
          </cell>
          <cell r="D107" t="str">
            <v>WEBER.CEL TUILE GRIS(CORTACEL) 25KG</v>
          </cell>
        </row>
        <row r="108">
          <cell r="A108" t="str">
            <v>MCBE0203</v>
          </cell>
          <cell r="B108" t="str">
            <v>Chimie du bâtiment</v>
          </cell>
          <cell r="C108" t="str">
            <v>MORTIER DE REPARARION PRISE RAPIDE</v>
          </cell>
          <cell r="D108" t="str">
            <v>WEBER.REP RAPIDE               25KG</v>
          </cell>
        </row>
        <row r="109">
          <cell r="A109" t="str">
            <v>MCBE0203</v>
          </cell>
          <cell r="B109" t="str">
            <v>Chimie du bâtiment</v>
          </cell>
          <cell r="C109" t="str">
            <v>MORTIER DE REPARARION PRISE RAPIDE</v>
          </cell>
          <cell r="D109" t="str">
            <v>WEBER.REP RAPIDE               25KG</v>
          </cell>
        </row>
        <row r="110">
          <cell r="A110" t="str">
            <v>MCBE0203</v>
          </cell>
          <cell r="B110" t="str">
            <v>Chimie du bâtiment</v>
          </cell>
          <cell r="C110" t="str">
            <v>MORTIER DE REPARARION PRISE RAPIDE</v>
          </cell>
          <cell r="D110" t="str">
            <v>WEBER.REP RAPIDE               25KG</v>
          </cell>
        </row>
        <row r="111">
          <cell r="A111" t="str">
            <v>MCBE0203</v>
          </cell>
          <cell r="B111" t="str">
            <v>Chimie du bâtiment</v>
          </cell>
          <cell r="C111" t="str">
            <v>MORTIER DE REPARARION PRISE RAPIDE</v>
          </cell>
          <cell r="D111" t="str">
            <v>WEBER.REP RAPIDE               25KG</v>
          </cell>
        </row>
        <row r="112">
          <cell r="A112" t="str">
            <v>MCBE0203</v>
          </cell>
          <cell r="B112" t="str">
            <v>Chimie du bâtiment</v>
          </cell>
          <cell r="C112" t="str">
            <v>MORTIER DE REPARARION PRISE RAPIDE</v>
          </cell>
          <cell r="D112" t="str">
            <v>WEBER.REP RAPIDE               25KG</v>
          </cell>
        </row>
        <row r="113">
          <cell r="A113" t="str">
            <v>MCBE0204</v>
          </cell>
          <cell r="B113" t="str">
            <v>Colle /mastics/silicone/peinture</v>
          </cell>
          <cell r="C113" t="str">
            <v>silicone</v>
          </cell>
          <cell r="D113" t="str">
            <v>Mastic silicone translucide</v>
          </cell>
        </row>
        <row r="114">
          <cell r="A114" t="str">
            <v>MCBE0204</v>
          </cell>
          <cell r="B114" t="str">
            <v>Colle /mastics/silicone/peinture</v>
          </cell>
          <cell r="C114" t="str">
            <v>silicone</v>
          </cell>
          <cell r="D114" t="str">
            <v>Mastic silicone translucide</v>
          </cell>
        </row>
        <row r="115">
          <cell r="A115" t="str">
            <v>MCBE0204</v>
          </cell>
          <cell r="B115" t="str">
            <v>Colle /mastics/silicone/peinture</v>
          </cell>
          <cell r="C115" t="str">
            <v>silicone</v>
          </cell>
          <cell r="D115" t="str">
            <v>Mastic silicone translucide</v>
          </cell>
        </row>
        <row r="116">
          <cell r="A116" t="str">
            <v>MCBE0204</v>
          </cell>
          <cell r="B116" t="str">
            <v>Colle /mastics/silicone/peinture</v>
          </cell>
          <cell r="C116" t="str">
            <v>silicone</v>
          </cell>
          <cell r="D116" t="str">
            <v>Mastic silicone translucide</v>
          </cell>
        </row>
        <row r="117">
          <cell r="A117" t="str">
            <v>MCBE0204</v>
          </cell>
          <cell r="B117" t="str">
            <v>Colle /mastics/silicone/peinture</v>
          </cell>
          <cell r="C117" t="str">
            <v>silicone</v>
          </cell>
          <cell r="D117" t="str">
            <v>Mastic silicone translucide</v>
          </cell>
        </row>
        <row r="118">
          <cell r="A118" t="str">
            <v>MCBE0204</v>
          </cell>
          <cell r="B118" t="str">
            <v>Colle /mastics/silicone/peinture</v>
          </cell>
          <cell r="C118" t="str">
            <v>silicone</v>
          </cell>
          <cell r="D118" t="str">
            <v>Mastic silicone translucide</v>
          </cell>
        </row>
        <row r="119">
          <cell r="A119" t="str">
            <v>MCBE0205</v>
          </cell>
          <cell r="B119" t="str">
            <v>Colle /mastics/silicone/peinture</v>
          </cell>
          <cell r="C119" t="str">
            <v>silicone</v>
          </cell>
          <cell r="D119" t="str">
            <v>Mastic silicone gris</v>
          </cell>
        </row>
        <row r="120">
          <cell r="A120" t="str">
            <v>MCBE0205</v>
          </cell>
          <cell r="B120" t="str">
            <v>Colle /mastics/silicone/peinture</v>
          </cell>
          <cell r="C120" t="str">
            <v>silicone</v>
          </cell>
          <cell r="D120" t="str">
            <v>Mastic silicone gris</v>
          </cell>
        </row>
        <row r="121">
          <cell r="A121" t="str">
            <v>MCBE0205</v>
          </cell>
          <cell r="B121" t="str">
            <v>Colle /mastics/silicone/peinture</v>
          </cell>
          <cell r="C121" t="str">
            <v>silicone</v>
          </cell>
          <cell r="D121" t="str">
            <v>Mastic silicone gris</v>
          </cell>
        </row>
        <row r="122">
          <cell r="A122" t="str">
            <v>MCBE0205</v>
          </cell>
          <cell r="B122" t="str">
            <v>Colle /mastics/silicone/peinture</v>
          </cell>
          <cell r="C122" t="str">
            <v>silicone</v>
          </cell>
          <cell r="D122" t="str">
            <v>Mastic silicone gris</v>
          </cell>
        </row>
        <row r="123">
          <cell r="A123" t="str">
            <v>MCBE0205</v>
          </cell>
          <cell r="B123" t="str">
            <v>Colle /mastics/silicone/peinture</v>
          </cell>
          <cell r="C123" t="str">
            <v>silicone</v>
          </cell>
          <cell r="D123" t="str">
            <v>Mastic silicone gris</v>
          </cell>
        </row>
        <row r="124">
          <cell r="A124" t="str">
            <v>MCBE0205</v>
          </cell>
          <cell r="B124" t="str">
            <v>Colle /mastics/silicone/peinture</v>
          </cell>
          <cell r="C124" t="str">
            <v>silicone</v>
          </cell>
          <cell r="D124" t="str">
            <v>Mastic silicone gris</v>
          </cell>
        </row>
        <row r="125">
          <cell r="A125" t="str">
            <v>MCBE0206</v>
          </cell>
          <cell r="B125" t="str">
            <v>Colle /mastics/silicone/peinture</v>
          </cell>
          <cell r="C125" t="str">
            <v>silicone</v>
          </cell>
          <cell r="D125" t="str">
            <v>Mastic silicone noir</v>
          </cell>
        </row>
        <row r="126">
          <cell r="A126" t="str">
            <v>MCBE0206</v>
          </cell>
          <cell r="B126" t="str">
            <v>Colle /mastics/silicone/peinture</v>
          </cell>
          <cell r="C126" t="str">
            <v>silicone</v>
          </cell>
          <cell r="D126" t="str">
            <v>Mastic silicone noir</v>
          </cell>
        </row>
        <row r="127">
          <cell r="A127" t="str">
            <v>MCBE0206</v>
          </cell>
          <cell r="B127" t="str">
            <v>Colle /mastics/silicone/peinture</v>
          </cell>
          <cell r="C127" t="str">
            <v>silicone</v>
          </cell>
          <cell r="D127" t="str">
            <v>Mastic silicone noir</v>
          </cell>
        </row>
        <row r="128">
          <cell r="A128" t="str">
            <v>MCBE0206</v>
          </cell>
          <cell r="B128" t="str">
            <v>Colle /mastics/silicone/peinture</v>
          </cell>
          <cell r="C128" t="str">
            <v>silicone</v>
          </cell>
          <cell r="D128" t="str">
            <v>Mastic silicone noir</v>
          </cell>
        </row>
        <row r="129">
          <cell r="A129" t="str">
            <v>MCBE0206</v>
          </cell>
          <cell r="B129" t="str">
            <v>Colle /mastics/silicone/peinture</v>
          </cell>
          <cell r="C129" t="str">
            <v>silicone</v>
          </cell>
          <cell r="D129" t="str">
            <v>Mastic silicone noir</v>
          </cell>
        </row>
        <row r="130">
          <cell r="A130" t="str">
            <v>MCBE0206</v>
          </cell>
          <cell r="B130" t="str">
            <v>Colle /mastics/silicone/peinture</v>
          </cell>
          <cell r="C130" t="str">
            <v>silicone</v>
          </cell>
          <cell r="D130" t="str">
            <v>Mastic silicone noir</v>
          </cell>
        </row>
        <row r="131">
          <cell r="A131" t="str">
            <v>MCBE0207</v>
          </cell>
          <cell r="B131" t="str">
            <v>Colle /mastics/silicone/peinture</v>
          </cell>
          <cell r="C131" t="str">
            <v>silicone</v>
          </cell>
          <cell r="D131" t="str">
            <v>Mastic silicone blanc</v>
          </cell>
        </row>
        <row r="132">
          <cell r="A132" t="str">
            <v>MCBE0207</v>
          </cell>
          <cell r="B132" t="str">
            <v>Colle /mastics/silicone/peinture</v>
          </cell>
          <cell r="C132" t="str">
            <v>silicone</v>
          </cell>
          <cell r="D132" t="str">
            <v>Mastic silicone blanc</v>
          </cell>
        </row>
        <row r="133">
          <cell r="A133" t="str">
            <v>MCBE0207</v>
          </cell>
          <cell r="B133" t="str">
            <v>Colle /mastics/silicone/peinture</v>
          </cell>
          <cell r="C133" t="str">
            <v>silicone</v>
          </cell>
          <cell r="D133" t="str">
            <v>Mastic silicone blanc</v>
          </cell>
        </row>
        <row r="134">
          <cell r="A134" t="str">
            <v>MCBE0207</v>
          </cell>
          <cell r="B134" t="str">
            <v>Colle /mastics/silicone/peinture</v>
          </cell>
          <cell r="C134" t="str">
            <v>silicone</v>
          </cell>
          <cell r="D134" t="str">
            <v>Mastic silicone blanc</v>
          </cell>
        </row>
        <row r="135">
          <cell r="A135" t="str">
            <v>MCBE0207</v>
          </cell>
          <cell r="B135" t="str">
            <v>Colle /mastics/silicone/peinture</v>
          </cell>
          <cell r="C135" t="str">
            <v>silicone</v>
          </cell>
          <cell r="D135" t="str">
            <v>Mastic silicone blanc</v>
          </cell>
        </row>
        <row r="136">
          <cell r="A136" t="str">
            <v>MCBE0207</v>
          </cell>
          <cell r="B136" t="str">
            <v>Colle /mastics/silicone/peinture</v>
          </cell>
          <cell r="C136" t="str">
            <v>silicone</v>
          </cell>
          <cell r="D136" t="str">
            <v>Mastic silicone blanc</v>
          </cell>
        </row>
        <row r="137">
          <cell r="A137" t="str">
            <v>MCBE0208</v>
          </cell>
          <cell r="B137" t="str">
            <v>Colle /mastics/silicone/peinture</v>
          </cell>
          <cell r="C137" t="str">
            <v>Peinture</v>
          </cell>
          <cell r="D137" t="str">
            <v xml:space="preserve">Bombe aerosol - RAL 1015 </v>
          </cell>
        </row>
        <row r="138">
          <cell r="A138" t="str">
            <v>MCBE0208</v>
          </cell>
          <cell r="B138" t="str">
            <v>Colle /mastics/silicone/peinture</v>
          </cell>
          <cell r="C138" t="str">
            <v>Peinture</v>
          </cell>
          <cell r="D138" t="str">
            <v xml:space="preserve">Bombe aerosol - RAL 1015 </v>
          </cell>
        </row>
        <row r="139">
          <cell r="A139" t="str">
            <v>MCBE0208</v>
          </cell>
          <cell r="B139" t="str">
            <v>Colle /mastics/silicone/peinture</v>
          </cell>
          <cell r="C139" t="str">
            <v>Peinture</v>
          </cell>
          <cell r="D139" t="str">
            <v xml:space="preserve">Bombe aerosol - RAL 1015 </v>
          </cell>
        </row>
        <row r="140">
          <cell r="A140" t="str">
            <v>MCBE0208</v>
          </cell>
          <cell r="B140" t="str">
            <v>Colle /mastics/silicone/peinture</v>
          </cell>
          <cell r="C140" t="str">
            <v>Peinture</v>
          </cell>
          <cell r="D140" t="str">
            <v xml:space="preserve">Bombe aerosol - RAL 1015 </v>
          </cell>
        </row>
        <row r="141">
          <cell r="A141" t="str">
            <v>MCBE0208</v>
          </cell>
          <cell r="B141" t="str">
            <v>Colle /mastics/silicone/peinture</v>
          </cell>
          <cell r="C141" t="str">
            <v>Peinture</v>
          </cell>
          <cell r="D141" t="str">
            <v xml:space="preserve">Bombe aerosol - RAL 1015 </v>
          </cell>
        </row>
        <row r="142">
          <cell r="A142" t="str">
            <v>MCBE0208</v>
          </cell>
          <cell r="B142" t="str">
            <v>Colle /mastics/silicone/peinture</v>
          </cell>
          <cell r="C142" t="str">
            <v>Peinture</v>
          </cell>
          <cell r="D142" t="str">
            <v xml:space="preserve">Bombe aerosol - RAL 1015 </v>
          </cell>
        </row>
        <row r="143">
          <cell r="A143" t="str">
            <v>MCBE0209</v>
          </cell>
          <cell r="B143" t="str">
            <v>Colle /mastics/silicone/peinture</v>
          </cell>
          <cell r="C143" t="str">
            <v>Peinture</v>
          </cell>
          <cell r="D143" t="str">
            <v>Bombe aerosol - RAL 7016</v>
          </cell>
        </row>
        <row r="144">
          <cell r="A144" t="str">
            <v>MCBE0209</v>
          </cell>
          <cell r="B144" t="str">
            <v>Colle /mastics/silicone/peinture</v>
          </cell>
          <cell r="C144" t="str">
            <v>Peinture</v>
          </cell>
          <cell r="D144" t="str">
            <v>Bombe aerosol - RAL 7016</v>
          </cell>
        </row>
        <row r="145">
          <cell r="A145" t="str">
            <v>MCBE0209</v>
          </cell>
          <cell r="B145" t="str">
            <v>Colle /mastics/silicone/peinture</v>
          </cell>
          <cell r="C145" t="str">
            <v>Peinture</v>
          </cell>
          <cell r="D145" t="str">
            <v>Bombe aerosol - RAL 7016</v>
          </cell>
        </row>
        <row r="146">
          <cell r="A146" t="str">
            <v>MCBE0209</v>
          </cell>
          <cell r="B146" t="str">
            <v>Colle /mastics/silicone/peinture</v>
          </cell>
          <cell r="C146" t="str">
            <v>Peinture</v>
          </cell>
          <cell r="D146" t="str">
            <v>Bombe aerosol - RAL 7016</v>
          </cell>
        </row>
        <row r="147">
          <cell r="A147" t="str">
            <v>MCBE0209</v>
          </cell>
          <cell r="B147" t="str">
            <v>Colle /mastics/silicone/peinture</v>
          </cell>
          <cell r="C147" t="str">
            <v>Peinture</v>
          </cell>
          <cell r="D147" t="str">
            <v>Bombe aerosol - RAL 7016</v>
          </cell>
        </row>
        <row r="148">
          <cell r="A148" t="str">
            <v>MCBE0209</v>
          </cell>
          <cell r="B148" t="str">
            <v>Colle /mastics/silicone/peinture</v>
          </cell>
          <cell r="C148" t="str">
            <v>Peinture</v>
          </cell>
          <cell r="D148" t="str">
            <v>Bombe aerosol - RAL 7016</v>
          </cell>
        </row>
        <row r="149">
          <cell r="A149" t="str">
            <v>MCBE0210</v>
          </cell>
          <cell r="B149" t="str">
            <v>Colle /mastics/silicone/peinture</v>
          </cell>
          <cell r="C149" t="str">
            <v>Peinture</v>
          </cell>
          <cell r="D149" t="str">
            <v>Bombe aerosol - RAL 9006</v>
          </cell>
        </row>
        <row r="150">
          <cell r="A150" t="str">
            <v>MCBE0210</v>
          </cell>
          <cell r="B150" t="str">
            <v>Colle /mastics/silicone/peinture</v>
          </cell>
          <cell r="C150" t="str">
            <v>Peinture</v>
          </cell>
          <cell r="D150" t="str">
            <v>Bombe aerosol - RAL 9006</v>
          </cell>
        </row>
        <row r="151">
          <cell r="A151" t="str">
            <v>MCBE0210</v>
          </cell>
          <cell r="B151" t="str">
            <v>Colle /mastics/silicone/peinture</v>
          </cell>
          <cell r="C151" t="str">
            <v>Peinture</v>
          </cell>
          <cell r="D151" t="str">
            <v>Bombe aerosol - RAL 9006</v>
          </cell>
        </row>
        <row r="152">
          <cell r="A152" t="str">
            <v>MCBE0210</v>
          </cell>
          <cell r="B152" t="str">
            <v>Colle /mastics/silicone/peinture</v>
          </cell>
          <cell r="C152" t="str">
            <v>Peinture</v>
          </cell>
          <cell r="D152" t="str">
            <v>Bombe aerosol - RAL 9006</v>
          </cell>
        </row>
        <row r="153">
          <cell r="A153" t="str">
            <v>MCBE0210</v>
          </cell>
          <cell r="B153" t="str">
            <v>Colle /mastics/silicone/peinture</v>
          </cell>
          <cell r="C153" t="str">
            <v>Peinture</v>
          </cell>
          <cell r="D153" t="str">
            <v>Bombe aerosol - RAL 9006</v>
          </cell>
        </row>
        <row r="154">
          <cell r="A154" t="str">
            <v>MCBE0210</v>
          </cell>
          <cell r="B154" t="str">
            <v>Colle /mastics/silicone/peinture</v>
          </cell>
          <cell r="C154" t="str">
            <v>Peinture</v>
          </cell>
          <cell r="D154" t="str">
            <v>Bombe aerosol - RAL 9006</v>
          </cell>
        </row>
        <row r="155">
          <cell r="A155" t="str">
            <v>MCBE0211</v>
          </cell>
          <cell r="B155" t="str">
            <v>Colle /mastics/silicone/peinture</v>
          </cell>
          <cell r="C155" t="str">
            <v>Peinture</v>
          </cell>
          <cell r="D155" t="str">
            <v>Bombe aerosol - RAL 9010</v>
          </cell>
        </row>
        <row r="156">
          <cell r="A156" t="str">
            <v>MCBE0211</v>
          </cell>
          <cell r="B156" t="str">
            <v>Colle /mastics/silicone/peinture</v>
          </cell>
          <cell r="C156" t="str">
            <v>Peinture</v>
          </cell>
          <cell r="D156" t="str">
            <v>Bombe aerosol - RAL 9010</v>
          </cell>
        </row>
        <row r="157">
          <cell r="A157" t="str">
            <v>MCBE0211</v>
          </cell>
          <cell r="B157" t="str">
            <v>Colle /mastics/silicone/peinture</v>
          </cell>
          <cell r="C157" t="str">
            <v>Peinture</v>
          </cell>
          <cell r="D157" t="str">
            <v>Bombe aerosol - RAL 9010</v>
          </cell>
        </row>
        <row r="158">
          <cell r="A158" t="str">
            <v>MCBE0211</v>
          </cell>
          <cell r="B158" t="str">
            <v>Colle /mastics/silicone/peinture</v>
          </cell>
          <cell r="C158" t="str">
            <v>Peinture</v>
          </cell>
          <cell r="D158" t="str">
            <v>Bombe aerosol - RAL 9010</v>
          </cell>
        </row>
        <row r="159">
          <cell r="A159" t="str">
            <v>MCBE0211</v>
          </cell>
          <cell r="B159" t="str">
            <v>Colle /mastics/silicone/peinture</v>
          </cell>
          <cell r="C159" t="str">
            <v>Peinture</v>
          </cell>
          <cell r="D159" t="str">
            <v>Bombe aerosol - RAL 9010</v>
          </cell>
        </row>
        <row r="160">
          <cell r="A160" t="str">
            <v>MCBE0211</v>
          </cell>
          <cell r="B160" t="str">
            <v>Colle /mastics/silicone/peinture</v>
          </cell>
          <cell r="C160" t="str">
            <v>Peinture</v>
          </cell>
          <cell r="D160" t="str">
            <v>Bombe aerosol - RAL 9010</v>
          </cell>
        </row>
        <row r="161">
          <cell r="A161" t="str">
            <v>MCBE0487</v>
          </cell>
          <cell r="B161" t="str">
            <v>couverture</v>
          </cell>
          <cell r="C161" t="str">
            <v>tuile terre cuite</v>
          </cell>
          <cell r="D161" t="str">
            <v>TEMPETE 18 NOIR MAT TUILE 17,1 à 18,9 M2 PAL 576</v>
          </cell>
        </row>
        <row r="162">
          <cell r="A162" t="str">
            <v>MCBE0488</v>
          </cell>
          <cell r="B162" t="str">
            <v>couverture</v>
          </cell>
          <cell r="C162" t="str">
            <v>tuile terre cuite</v>
          </cell>
          <cell r="D162" t="str">
            <v>TEMPETE 18 ROUGE  TUILE 17,1 à 18,9 M2 PAL 576</v>
          </cell>
        </row>
        <row r="163">
          <cell r="A163" t="str">
            <v>MCBE0001</v>
          </cell>
          <cell r="B163" t="str">
            <v>Evacuation des eaux pluviales</v>
          </cell>
          <cell r="C163" t="str">
            <v>Crapaudine droite</v>
          </cell>
          <cell r="D163" t="str">
            <v>Crapaudine exterieur galva Droite 80/100</v>
          </cell>
        </row>
        <row r="164">
          <cell r="A164" t="str">
            <v>MCBE0001</v>
          </cell>
          <cell r="B164" t="str">
            <v>Evacuation des eaux pluviales</v>
          </cell>
          <cell r="C164" t="str">
            <v>Crapaudine droite</v>
          </cell>
          <cell r="D164" t="str">
            <v>Crapaudine exterieur galva Droite 80/100</v>
          </cell>
        </row>
        <row r="165">
          <cell r="A165" t="str">
            <v>MCBE0001</v>
          </cell>
          <cell r="B165" t="str">
            <v>Evacuation des eaux pluviales</v>
          </cell>
          <cell r="C165" t="str">
            <v>Crapaudine droite</v>
          </cell>
          <cell r="D165" t="str">
            <v>Crapaudine exterieur galva Droite 80/100</v>
          </cell>
        </row>
        <row r="166">
          <cell r="A166" t="str">
            <v>MCBE0001</v>
          </cell>
          <cell r="B166" t="str">
            <v>Evacuation des eaux pluviales</v>
          </cell>
          <cell r="C166" t="str">
            <v>Crapaudine droite</v>
          </cell>
          <cell r="D166" t="str">
            <v>Crapaudine exterieur galva Droite 80/100</v>
          </cell>
        </row>
        <row r="167">
          <cell r="A167" t="str">
            <v>MCBE0001</v>
          </cell>
          <cell r="B167" t="str">
            <v>Evacuation des eaux pluviales</v>
          </cell>
          <cell r="C167" t="str">
            <v>Crapaudine droite</v>
          </cell>
          <cell r="D167" t="str">
            <v>Crapaudine exterieur galva Droite 80/100</v>
          </cell>
        </row>
        <row r="168">
          <cell r="A168" t="str">
            <v>MCBE0001</v>
          </cell>
          <cell r="B168" t="str">
            <v>Evacuation des eaux pluviales</v>
          </cell>
          <cell r="C168" t="str">
            <v>Crapaudine droite</v>
          </cell>
          <cell r="D168" t="str">
            <v>Crapaudine exterieur galva Droite 80/100</v>
          </cell>
        </row>
        <row r="169">
          <cell r="A169" t="str">
            <v>MCBE0002</v>
          </cell>
          <cell r="B169" t="str">
            <v>Evacuation des eaux pluviales</v>
          </cell>
          <cell r="C169" t="str">
            <v>Crapaudine droite</v>
          </cell>
          <cell r="D169" t="str">
            <v>Crapaudine exterieur galva Droite 110/130</v>
          </cell>
        </row>
        <row r="170">
          <cell r="A170" t="str">
            <v>MCBE0002</v>
          </cell>
          <cell r="B170" t="str">
            <v>Evacuation des eaux pluviales</v>
          </cell>
          <cell r="C170" t="str">
            <v>Crapaudine droite</v>
          </cell>
          <cell r="D170" t="str">
            <v>Crapaudine exterieur galva Droite 110/130</v>
          </cell>
        </row>
        <row r="171">
          <cell r="A171" t="str">
            <v>MCBE0002</v>
          </cell>
          <cell r="B171" t="str">
            <v>Evacuation des eaux pluviales</v>
          </cell>
          <cell r="C171" t="str">
            <v>Crapaudine droite</v>
          </cell>
          <cell r="D171" t="str">
            <v>Crapaudine exterieur galva Droite 110/130</v>
          </cell>
        </row>
        <row r="172">
          <cell r="A172" t="str">
            <v>MCBE0002</v>
          </cell>
          <cell r="B172" t="str">
            <v>Evacuation des eaux pluviales</v>
          </cell>
          <cell r="C172" t="str">
            <v>Crapaudine droite</v>
          </cell>
          <cell r="D172" t="str">
            <v>Crapaudine exterieur galva Droite 110/130</v>
          </cell>
        </row>
        <row r="173">
          <cell r="A173" t="str">
            <v>MCBE0002</v>
          </cell>
          <cell r="B173" t="str">
            <v>Evacuation des eaux pluviales</v>
          </cell>
          <cell r="C173" t="str">
            <v>Crapaudine droite</v>
          </cell>
          <cell r="D173" t="str">
            <v>Crapaudine exterieur galva Droite 110/130</v>
          </cell>
        </row>
        <row r="174">
          <cell r="A174" t="str">
            <v>MCBE0002</v>
          </cell>
          <cell r="B174" t="str">
            <v>Evacuation des eaux pluviales</v>
          </cell>
          <cell r="C174" t="str">
            <v>Crapaudine droite</v>
          </cell>
          <cell r="D174" t="str">
            <v>Crapaudine exterieur galva Droite 110/130</v>
          </cell>
        </row>
        <row r="175">
          <cell r="A175" t="str">
            <v>MCBE0003</v>
          </cell>
          <cell r="B175" t="str">
            <v>Evacuation des eaux pluviales</v>
          </cell>
          <cell r="C175" t="str">
            <v>Crapaudine droite</v>
          </cell>
          <cell r="D175" t="str">
            <v>Crapaudine exterieur galva Droite 140/170</v>
          </cell>
        </row>
        <row r="176">
          <cell r="A176" t="str">
            <v>MCBE0003</v>
          </cell>
          <cell r="B176" t="str">
            <v>Evacuation des eaux pluviales</v>
          </cell>
          <cell r="C176" t="str">
            <v>Crapaudine droite</v>
          </cell>
          <cell r="D176" t="str">
            <v>Crapaudine exterieur galva Droite 140/170</v>
          </cell>
        </row>
        <row r="177">
          <cell r="A177" t="str">
            <v>MCBE0003</v>
          </cell>
          <cell r="B177" t="str">
            <v>Evacuation des eaux pluviales</v>
          </cell>
          <cell r="C177" t="str">
            <v>Crapaudine droite</v>
          </cell>
          <cell r="D177" t="str">
            <v>Crapaudine exterieur galva Droite 140/170</v>
          </cell>
        </row>
        <row r="178">
          <cell r="A178" t="str">
            <v>MCBE0003</v>
          </cell>
          <cell r="B178" t="str">
            <v>Evacuation des eaux pluviales</v>
          </cell>
          <cell r="C178" t="str">
            <v>Crapaudine droite</v>
          </cell>
          <cell r="D178" t="str">
            <v>Crapaudine exterieur galva Droite 140/170</v>
          </cell>
        </row>
        <row r="179">
          <cell r="A179" t="str">
            <v>MCBE0003</v>
          </cell>
          <cell r="B179" t="str">
            <v>Evacuation des eaux pluviales</v>
          </cell>
          <cell r="C179" t="str">
            <v>Crapaudine droite</v>
          </cell>
          <cell r="D179" t="str">
            <v>Crapaudine exterieur galva Droite 140/170</v>
          </cell>
        </row>
        <row r="180">
          <cell r="A180" t="str">
            <v>MCBE0003</v>
          </cell>
          <cell r="B180" t="str">
            <v>Evacuation des eaux pluviales</v>
          </cell>
          <cell r="C180" t="str">
            <v>Crapaudine droite</v>
          </cell>
          <cell r="D180" t="str">
            <v>Crapaudine exterieur galva Droite 140/170</v>
          </cell>
        </row>
        <row r="181">
          <cell r="A181" t="str">
            <v>MCBE0004</v>
          </cell>
          <cell r="B181" t="str">
            <v>Evacuation des eaux pluviales</v>
          </cell>
          <cell r="C181" t="str">
            <v>Evacuation EP alu droite</v>
          </cell>
          <cell r="D181" t="str">
            <v xml:space="preserve">Evacuation eaux pluviale alu droite diamètre 100- Hauteur 450 </v>
          </cell>
        </row>
        <row r="182">
          <cell r="A182" t="str">
            <v>MCBE0004</v>
          </cell>
          <cell r="B182" t="str">
            <v>Evacuation des eaux pluviales</v>
          </cell>
          <cell r="C182" t="str">
            <v>Evacuation EP alu droite</v>
          </cell>
          <cell r="D182" t="str">
            <v xml:space="preserve">Evacuation eaux pluviale alu droite diamètre 100- Hauteur 450 </v>
          </cell>
        </row>
        <row r="183">
          <cell r="A183" t="str">
            <v>MCBE0004</v>
          </cell>
          <cell r="B183" t="str">
            <v>Evacuation des eaux pluviales</v>
          </cell>
          <cell r="C183" t="str">
            <v>Evacuation EP alu droite</v>
          </cell>
          <cell r="D183" t="str">
            <v xml:space="preserve">Evacuation eaux pluviale alu droite diamètre 100- Hauteur 450 </v>
          </cell>
        </row>
        <row r="184">
          <cell r="A184" t="str">
            <v>MCBE0004</v>
          </cell>
          <cell r="B184" t="str">
            <v>Evacuation des eaux pluviales</v>
          </cell>
          <cell r="C184" t="str">
            <v>Evacuation EP alu droite</v>
          </cell>
          <cell r="D184" t="str">
            <v xml:space="preserve">Evacuation eaux pluviale alu droite diamètre 100- Hauteur 450 </v>
          </cell>
        </row>
        <row r="185">
          <cell r="A185" t="str">
            <v>MCBE0004</v>
          </cell>
          <cell r="B185" t="str">
            <v>Evacuation des eaux pluviales</v>
          </cell>
          <cell r="C185" t="str">
            <v>Evacuation EP alu droite</v>
          </cell>
          <cell r="D185" t="str">
            <v xml:space="preserve">Evacuation eaux pluviale alu droite diamètre 100- Hauteur 450 </v>
          </cell>
        </row>
        <row r="186">
          <cell r="A186" t="str">
            <v>MCBE0005</v>
          </cell>
          <cell r="B186" t="str">
            <v>Evacuation des eaux pluviales</v>
          </cell>
          <cell r="C186" t="str">
            <v>Evacuation EP alu droite</v>
          </cell>
          <cell r="D186" t="str">
            <v>Evacuation eaux pluviale alu droite diamètre 100- Hauteur 500</v>
          </cell>
        </row>
        <row r="187">
          <cell r="A187" t="str">
            <v>MCBE0005</v>
          </cell>
          <cell r="B187" t="str">
            <v>Evacuation des eaux pluviales</v>
          </cell>
          <cell r="C187" t="str">
            <v>Evacuation EP alu droite</v>
          </cell>
          <cell r="D187" t="str">
            <v>Evacuation eaux pluviale alu droite diamètre 100- Hauteur 500</v>
          </cell>
        </row>
        <row r="188">
          <cell r="A188" t="str">
            <v>MCBE0005</v>
          </cell>
          <cell r="B188" t="str">
            <v>Evacuation des eaux pluviales</v>
          </cell>
          <cell r="C188" t="str">
            <v>Evacuation EP alu droite</v>
          </cell>
          <cell r="D188" t="str">
            <v>Evacuation eaux pluviale alu droite diamètre 100- Hauteur 500</v>
          </cell>
        </row>
        <row r="189">
          <cell r="A189" t="str">
            <v>MCBE0005</v>
          </cell>
          <cell r="B189" t="str">
            <v>Evacuation des eaux pluviales</v>
          </cell>
          <cell r="C189" t="str">
            <v>Evacuation EP alu droite</v>
          </cell>
          <cell r="D189" t="str">
            <v>Evacuation eaux pluviale alu droite diamètre 100- Hauteur 500</v>
          </cell>
        </row>
        <row r="190">
          <cell r="A190" t="str">
            <v>MCBE0005</v>
          </cell>
          <cell r="B190" t="str">
            <v>Evacuation des eaux pluviales</v>
          </cell>
          <cell r="C190" t="str">
            <v>Evacuation EP alu droite</v>
          </cell>
          <cell r="D190" t="str">
            <v>Evacuation eaux pluviale alu droite diamètre 100- Hauteur 500</v>
          </cell>
        </row>
        <row r="191">
          <cell r="A191" t="str">
            <v>MCBE0006</v>
          </cell>
          <cell r="B191" t="str">
            <v>Evacuation des eaux pluviales</v>
          </cell>
          <cell r="C191" t="str">
            <v>Evacuation EP alu droite</v>
          </cell>
          <cell r="D191" t="str">
            <v>Evacuation eaux pluviale alu droite diamètre 100- Hauteur 600</v>
          </cell>
        </row>
        <row r="192">
          <cell r="A192" t="str">
            <v>MCBE0006</v>
          </cell>
          <cell r="B192" t="str">
            <v>Evacuation des eaux pluviales</v>
          </cell>
          <cell r="C192" t="str">
            <v>Evacuation EP alu droite</v>
          </cell>
          <cell r="D192" t="str">
            <v>Evacuation eaux pluviale alu droite diamètre 100- Hauteur 600</v>
          </cell>
        </row>
        <row r="193">
          <cell r="A193" t="str">
            <v>MCBE0006</v>
          </cell>
          <cell r="B193" t="str">
            <v>Evacuation des eaux pluviales</v>
          </cell>
          <cell r="C193" t="str">
            <v>Evacuation EP alu droite</v>
          </cell>
          <cell r="D193" t="str">
            <v>Evacuation eaux pluviale alu droite diamètre 100- Hauteur 600</v>
          </cell>
        </row>
        <row r="194">
          <cell r="A194" t="str">
            <v>MCBE0006</v>
          </cell>
          <cell r="B194" t="str">
            <v>Evacuation des eaux pluviales</v>
          </cell>
          <cell r="C194" t="str">
            <v>Evacuation EP alu droite</v>
          </cell>
          <cell r="D194" t="str">
            <v>Evacuation eaux pluviale alu droite diamètre 100- Hauteur 600</v>
          </cell>
        </row>
        <row r="195">
          <cell r="A195" t="str">
            <v>MCBE0006</v>
          </cell>
          <cell r="B195" t="str">
            <v>Evacuation des eaux pluviales</v>
          </cell>
          <cell r="C195" t="str">
            <v>Evacuation EP alu droite</v>
          </cell>
          <cell r="D195" t="str">
            <v>Evacuation eaux pluviale alu droite diamètre 100- Hauteur 600</v>
          </cell>
        </row>
        <row r="196">
          <cell r="A196" t="str">
            <v>MCBE0006</v>
          </cell>
          <cell r="B196" t="str">
            <v>Evacuation des eaux pluviales</v>
          </cell>
          <cell r="C196" t="str">
            <v>Evacuation EP alu droite</v>
          </cell>
          <cell r="D196" t="str">
            <v>Evacuation eaux pluviale alu droite diamètre 100- Hauteur 600</v>
          </cell>
        </row>
        <row r="197">
          <cell r="A197" t="str">
            <v>MCBE0007</v>
          </cell>
          <cell r="B197" t="str">
            <v>Evacuation des eaux pluviales</v>
          </cell>
          <cell r="C197" t="str">
            <v>Evacuation EP alu droite</v>
          </cell>
          <cell r="D197" t="str">
            <v>Evacuation eaux pluviale alu droite diamètre 116- Hauteur 500</v>
          </cell>
        </row>
        <row r="198">
          <cell r="A198" t="str">
            <v>MCBE0007</v>
          </cell>
          <cell r="B198" t="str">
            <v>Evacuation des eaux pluviales</v>
          </cell>
          <cell r="C198" t="str">
            <v>Evacuation EP alu droite</v>
          </cell>
          <cell r="D198" t="str">
            <v>Evacuation eaux pluviale alu droite diamètre 116- Hauteur 500</v>
          </cell>
        </row>
        <row r="199">
          <cell r="A199" t="str">
            <v>MCBE0007</v>
          </cell>
          <cell r="B199" t="str">
            <v>Evacuation des eaux pluviales</v>
          </cell>
          <cell r="C199" t="str">
            <v>Evacuation EP alu droite</v>
          </cell>
          <cell r="D199" t="str">
            <v>Evacuation eaux pluviale alu droite diamètre 116- Hauteur 500</v>
          </cell>
        </row>
        <row r="200">
          <cell r="A200" t="str">
            <v>MCBE0007</v>
          </cell>
          <cell r="B200" t="str">
            <v>Evacuation des eaux pluviales</v>
          </cell>
          <cell r="C200" t="str">
            <v>Evacuation EP alu droite</v>
          </cell>
          <cell r="D200" t="str">
            <v>Evacuation eaux pluviale alu droite diamètre 116- Hauteur 500</v>
          </cell>
        </row>
        <row r="201">
          <cell r="A201" t="str">
            <v>MCBE0007</v>
          </cell>
          <cell r="B201" t="str">
            <v>Evacuation des eaux pluviales</v>
          </cell>
          <cell r="C201" t="str">
            <v>Evacuation EP alu droite</v>
          </cell>
          <cell r="D201" t="str">
            <v>Evacuation eaux pluviale alu droite diamètre 116- Hauteur 500</v>
          </cell>
        </row>
        <row r="202">
          <cell r="A202" t="str">
            <v>MCBE0007</v>
          </cell>
          <cell r="B202" t="str">
            <v>Evacuation des eaux pluviales</v>
          </cell>
          <cell r="C202" t="str">
            <v>Evacuation EP alu droite</v>
          </cell>
          <cell r="D202" t="str">
            <v>Evacuation eaux pluviale alu droite diamètre 116- Hauteur 500</v>
          </cell>
        </row>
        <row r="203">
          <cell r="A203" t="str">
            <v>MCBE0008</v>
          </cell>
          <cell r="B203" t="str">
            <v>Evacuation des eaux pluviales</v>
          </cell>
          <cell r="C203" t="str">
            <v>Evacuation EP alu droite</v>
          </cell>
          <cell r="D203" t="str">
            <v>Evacuation eaux pluviale alu droite diamètre 120- Hauteur 600</v>
          </cell>
        </row>
        <row r="204">
          <cell r="A204" t="str">
            <v>MCBE0008</v>
          </cell>
          <cell r="B204" t="str">
            <v>Evacuation des eaux pluviales</v>
          </cell>
          <cell r="C204" t="str">
            <v>Evacuation EP alu droite</v>
          </cell>
          <cell r="D204" t="str">
            <v>Evacuation eaux pluviale alu droite diamètre 120- Hauteur 600</v>
          </cell>
        </row>
        <row r="205">
          <cell r="A205" t="str">
            <v>MCBE0008</v>
          </cell>
          <cell r="B205" t="str">
            <v>Evacuation des eaux pluviales</v>
          </cell>
          <cell r="C205" t="str">
            <v>Evacuation EP alu droite</v>
          </cell>
          <cell r="D205" t="str">
            <v>Evacuation eaux pluviale alu droite diamètre 120- Hauteur 600</v>
          </cell>
        </row>
        <row r="206">
          <cell r="A206" t="str">
            <v>MCBE0008</v>
          </cell>
          <cell r="B206" t="str">
            <v>Evacuation des eaux pluviales</v>
          </cell>
          <cell r="C206" t="str">
            <v>Evacuation EP alu droite</v>
          </cell>
          <cell r="D206" t="str">
            <v>Evacuation eaux pluviale alu droite diamètre 120- Hauteur 600</v>
          </cell>
        </row>
        <row r="207">
          <cell r="A207" t="str">
            <v>MCBE0008</v>
          </cell>
          <cell r="B207" t="str">
            <v>Evacuation des eaux pluviales</v>
          </cell>
          <cell r="C207" t="str">
            <v>Evacuation EP alu droite</v>
          </cell>
          <cell r="D207" t="str">
            <v>Evacuation eaux pluviale alu droite diamètre 120- Hauteur 600</v>
          </cell>
        </row>
        <row r="208">
          <cell r="A208" t="str">
            <v>MCBE0008</v>
          </cell>
          <cell r="B208" t="str">
            <v>Evacuation des eaux pluviales</v>
          </cell>
          <cell r="C208" t="str">
            <v>Evacuation EP alu droite</v>
          </cell>
          <cell r="D208" t="str">
            <v>Evacuation eaux pluviale alu droite diamètre 120- Hauteur 600</v>
          </cell>
        </row>
        <row r="209">
          <cell r="A209" t="str">
            <v>MCBE0009</v>
          </cell>
          <cell r="B209" t="str">
            <v>Evacuation des eaux pluviales</v>
          </cell>
          <cell r="C209" t="str">
            <v>Evacuation EP alu droite</v>
          </cell>
          <cell r="D209" t="str">
            <v>Evacuation eaux pluviale alu droite diamètre 130- Hauteur 500</v>
          </cell>
        </row>
        <row r="210">
          <cell r="A210" t="str">
            <v>MCBE0009</v>
          </cell>
          <cell r="B210" t="str">
            <v>Evacuation des eaux pluviales</v>
          </cell>
          <cell r="C210" t="str">
            <v>Evacuation EP alu droite</v>
          </cell>
          <cell r="D210" t="str">
            <v>Evacuation eaux pluviale alu droite diamètre 130- Hauteur 500</v>
          </cell>
        </row>
        <row r="211">
          <cell r="A211" t="str">
            <v>MCBE0009</v>
          </cell>
          <cell r="B211" t="str">
            <v>Evacuation des eaux pluviales</v>
          </cell>
          <cell r="C211" t="str">
            <v>Evacuation EP alu droite</v>
          </cell>
          <cell r="D211" t="str">
            <v>Evacuation eaux pluviale alu droite diamètre 130- Hauteur 500</v>
          </cell>
        </row>
        <row r="212">
          <cell r="A212" t="str">
            <v>MCBE0009</v>
          </cell>
          <cell r="B212" t="str">
            <v>Evacuation des eaux pluviales</v>
          </cell>
          <cell r="C212" t="str">
            <v>Evacuation EP alu droite</v>
          </cell>
          <cell r="D212" t="str">
            <v>Evacuation eaux pluviale alu droite diamètre 130- Hauteur 500</v>
          </cell>
        </row>
        <row r="213">
          <cell r="A213" t="str">
            <v>MCBE0009</v>
          </cell>
          <cell r="B213" t="str">
            <v>Evacuation des eaux pluviales</v>
          </cell>
          <cell r="C213" t="str">
            <v>Evacuation EP alu droite</v>
          </cell>
          <cell r="D213" t="str">
            <v>Evacuation eaux pluviale alu droite diamètre 130- Hauteur 500</v>
          </cell>
        </row>
        <row r="214">
          <cell r="A214" t="str">
            <v>MCBE0010</v>
          </cell>
          <cell r="B214" t="str">
            <v>Evacuation des eaux pluviales</v>
          </cell>
          <cell r="C214" t="str">
            <v>Evacuation EP alu droite</v>
          </cell>
          <cell r="D214" t="str">
            <v>Evacuation eaux pluviale alu droite diamètre 140- Hauteur 600</v>
          </cell>
        </row>
        <row r="215">
          <cell r="A215" t="str">
            <v>MCBE0010</v>
          </cell>
          <cell r="B215" t="str">
            <v>Evacuation des eaux pluviales</v>
          </cell>
          <cell r="C215" t="str">
            <v>Evacuation EP alu droite</v>
          </cell>
          <cell r="D215" t="str">
            <v>Evacuation eaux pluviale alu droite diamètre 140- Hauteur 600</v>
          </cell>
        </row>
        <row r="216">
          <cell r="A216" t="str">
            <v>MCBE0010</v>
          </cell>
          <cell r="B216" t="str">
            <v>Evacuation des eaux pluviales</v>
          </cell>
          <cell r="C216" t="str">
            <v>Evacuation EP alu droite</v>
          </cell>
          <cell r="D216" t="str">
            <v>Evacuation eaux pluviale alu droite diamètre 140- Hauteur 600</v>
          </cell>
        </row>
        <row r="217">
          <cell r="A217" t="str">
            <v>MCBE0010</v>
          </cell>
          <cell r="B217" t="str">
            <v>Evacuation des eaux pluviales</v>
          </cell>
          <cell r="C217" t="str">
            <v>Evacuation EP alu droite</v>
          </cell>
          <cell r="D217" t="str">
            <v>Evacuation eaux pluviale alu droite diamètre 140- Hauteur 600</v>
          </cell>
        </row>
        <row r="218">
          <cell r="A218" t="str">
            <v>MCBE0010</v>
          </cell>
          <cell r="B218" t="str">
            <v>Evacuation des eaux pluviales</v>
          </cell>
          <cell r="C218" t="str">
            <v>Evacuation EP alu droite</v>
          </cell>
          <cell r="D218" t="str">
            <v>Evacuation eaux pluviale alu droite diamètre 140- Hauteur 600</v>
          </cell>
        </row>
        <row r="219">
          <cell r="A219" t="str">
            <v>MCBE0010</v>
          </cell>
          <cell r="B219" t="str">
            <v>Evacuation des eaux pluviales</v>
          </cell>
          <cell r="C219" t="str">
            <v>Evacuation EP alu droite</v>
          </cell>
          <cell r="D219" t="str">
            <v>Evacuation eaux pluviale alu droite diamètre 140- Hauteur 600</v>
          </cell>
        </row>
        <row r="220">
          <cell r="A220" t="str">
            <v>MCBE0011</v>
          </cell>
          <cell r="B220" t="str">
            <v>Evacuation des eaux pluviales</v>
          </cell>
          <cell r="C220" t="str">
            <v>Evacuation EP alu droite</v>
          </cell>
          <cell r="D220" t="str">
            <v>Evacuation eaux pluviale alu droite diamètre 150- Hauteur 500</v>
          </cell>
        </row>
        <row r="221">
          <cell r="A221" t="str">
            <v>MCBE0011</v>
          </cell>
          <cell r="B221" t="str">
            <v>Evacuation des eaux pluviales</v>
          </cell>
          <cell r="C221" t="str">
            <v>Evacuation EP alu droite</v>
          </cell>
          <cell r="D221" t="str">
            <v>Evacuation eaux pluviale alu droite diamètre 150- Hauteur 500</v>
          </cell>
        </row>
        <row r="222">
          <cell r="A222" t="str">
            <v>MCBE0011</v>
          </cell>
          <cell r="B222" t="str">
            <v>Evacuation des eaux pluviales</v>
          </cell>
          <cell r="C222" t="str">
            <v>Evacuation EP alu droite</v>
          </cell>
          <cell r="D222" t="str">
            <v>Evacuation eaux pluviale alu droite diamètre 150- Hauteur 500</v>
          </cell>
        </row>
        <row r="223">
          <cell r="A223" t="str">
            <v>MCBE0011</v>
          </cell>
          <cell r="B223" t="str">
            <v>Evacuation des eaux pluviales</v>
          </cell>
          <cell r="C223" t="str">
            <v>Evacuation EP alu droite</v>
          </cell>
          <cell r="D223" t="str">
            <v>Evacuation eaux pluviale alu droite diamètre 150- Hauteur 500</v>
          </cell>
        </row>
        <row r="224">
          <cell r="A224" t="str">
            <v>MCBE0011</v>
          </cell>
          <cell r="B224" t="str">
            <v>Evacuation des eaux pluviales</v>
          </cell>
          <cell r="C224" t="str">
            <v>Evacuation EP alu droite</v>
          </cell>
          <cell r="D224" t="str">
            <v>Evacuation eaux pluviale alu droite diamètre 150- Hauteur 500</v>
          </cell>
        </row>
        <row r="225">
          <cell r="A225" t="str">
            <v>MCBE0011</v>
          </cell>
          <cell r="B225" t="str">
            <v>Evacuation des eaux pluviales</v>
          </cell>
          <cell r="C225" t="str">
            <v>Evacuation EP alu droite</v>
          </cell>
          <cell r="D225" t="str">
            <v>Evacuation eaux pluviale alu droite diamètre 150- Hauteur 500</v>
          </cell>
        </row>
        <row r="226">
          <cell r="A226" t="str">
            <v>MCBE0012</v>
          </cell>
          <cell r="B226" t="str">
            <v>Evacuation des eaux pluviales</v>
          </cell>
          <cell r="C226" t="str">
            <v>Evacuation EP alu droite</v>
          </cell>
          <cell r="D226" t="str">
            <v>Evacuation eaux pluviale alu droite diamètre 160- Hauteur 600</v>
          </cell>
        </row>
        <row r="227">
          <cell r="A227" t="str">
            <v>MCBE0012</v>
          </cell>
          <cell r="B227" t="str">
            <v>Evacuation des eaux pluviales</v>
          </cell>
          <cell r="C227" t="str">
            <v>Evacuation EP alu droite</v>
          </cell>
          <cell r="D227" t="str">
            <v>Evacuation eaux pluviale alu droite diamètre 160- Hauteur 600</v>
          </cell>
        </row>
        <row r="228">
          <cell r="A228" t="str">
            <v>MCBE0012</v>
          </cell>
          <cell r="B228" t="str">
            <v>Evacuation des eaux pluviales</v>
          </cell>
          <cell r="C228" t="str">
            <v>Evacuation EP alu droite</v>
          </cell>
          <cell r="D228" t="str">
            <v>Evacuation eaux pluviale alu droite diamètre 160- Hauteur 600</v>
          </cell>
        </row>
        <row r="229">
          <cell r="A229" t="str">
            <v>MCBE0012</v>
          </cell>
          <cell r="B229" t="str">
            <v>Evacuation des eaux pluviales</v>
          </cell>
          <cell r="C229" t="str">
            <v>Evacuation EP alu droite</v>
          </cell>
          <cell r="D229" t="str">
            <v>Evacuation eaux pluviale alu droite diamètre 160- Hauteur 600</v>
          </cell>
        </row>
        <row r="230">
          <cell r="A230" t="str">
            <v>MCBE0012</v>
          </cell>
          <cell r="B230" t="str">
            <v>Evacuation des eaux pluviales</v>
          </cell>
          <cell r="C230" t="str">
            <v>Evacuation EP alu droite</v>
          </cell>
          <cell r="D230" t="str">
            <v>Evacuation eaux pluviale alu droite diamètre 160- Hauteur 600</v>
          </cell>
        </row>
        <row r="231">
          <cell r="A231" t="str">
            <v>MCBE0012</v>
          </cell>
          <cell r="B231" t="str">
            <v>Evacuation des eaux pluviales</v>
          </cell>
          <cell r="C231" t="str">
            <v>Evacuation EP alu droite</v>
          </cell>
          <cell r="D231" t="str">
            <v>Evacuation eaux pluviale alu droite diamètre 160- Hauteur 600</v>
          </cell>
        </row>
        <row r="232">
          <cell r="A232" t="str">
            <v>MCBE0013</v>
          </cell>
          <cell r="B232" t="str">
            <v>Evacuation des eaux pluviales</v>
          </cell>
          <cell r="C232" t="str">
            <v>Evacuation EP alu droite</v>
          </cell>
          <cell r="D232" t="str">
            <v>Evacuation eaux pluviale alu droite diamètre 190- Hauteur 500</v>
          </cell>
        </row>
        <row r="233">
          <cell r="A233" t="str">
            <v>MCBE0013</v>
          </cell>
          <cell r="B233" t="str">
            <v>Evacuation des eaux pluviales</v>
          </cell>
          <cell r="C233" t="str">
            <v>Evacuation EP alu droite</v>
          </cell>
          <cell r="D233" t="str">
            <v>Evacuation eaux pluviale alu droite diamètre 190- Hauteur 500</v>
          </cell>
        </row>
        <row r="234">
          <cell r="A234" t="str">
            <v>MCBE0013</v>
          </cell>
          <cell r="B234" t="str">
            <v>Evacuation des eaux pluviales</v>
          </cell>
          <cell r="C234" t="str">
            <v>Evacuation EP alu droite</v>
          </cell>
          <cell r="D234" t="str">
            <v>Evacuation eaux pluviale alu droite diamètre 190- Hauteur 500</v>
          </cell>
        </row>
        <row r="235">
          <cell r="A235" t="str">
            <v>MCBE0013</v>
          </cell>
          <cell r="B235" t="str">
            <v>Evacuation des eaux pluviales</v>
          </cell>
          <cell r="C235" t="str">
            <v>Evacuation EP alu droite</v>
          </cell>
          <cell r="D235" t="str">
            <v>Evacuation eaux pluviale alu droite diamètre 190- Hauteur 500</v>
          </cell>
        </row>
        <row r="236">
          <cell r="A236" t="str">
            <v>MCBE0013</v>
          </cell>
          <cell r="B236" t="str">
            <v>Evacuation des eaux pluviales</v>
          </cell>
          <cell r="C236" t="str">
            <v>Evacuation EP alu droite</v>
          </cell>
          <cell r="D236" t="str">
            <v>Evacuation eaux pluviale alu droite diamètre 190- Hauteur 500</v>
          </cell>
        </row>
        <row r="237">
          <cell r="A237" t="str">
            <v>MCBE0013</v>
          </cell>
          <cell r="B237" t="str">
            <v>Evacuation des eaux pluviales</v>
          </cell>
          <cell r="C237" t="str">
            <v>Evacuation EP alu droite</v>
          </cell>
          <cell r="D237" t="str">
            <v>Evacuation eaux pluviale alu droite diamètre 190- Hauteur 500</v>
          </cell>
        </row>
        <row r="238">
          <cell r="A238" t="str">
            <v>MCBE0014</v>
          </cell>
          <cell r="B238" t="str">
            <v>Evacuation des eaux pluviales</v>
          </cell>
          <cell r="C238" t="str">
            <v>Evacuation EP alu droite</v>
          </cell>
          <cell r="D238" t="str">
            <v>Evacuation eaux pluviale alu droite diamètre 75- Hauteur 500</v>
          </cell>
        </row>
        <row r="239">
          <cell r="A239" t="str">
            <v>MCBE0014</v>
          </cell>
          <cell r="B239" t="str">
            <v>Evacuation des eaux pluviales</v>
          </cell>
          <cell r="C239" t="str">
            <v>Evacuation EP alu droite</v>
          </cell>
          <cell r="D239" t="str">
            <v>Evacuation eaux pluviale alu droite diamètre 75- Hauteur 500</v>
          </cell>
        </row>
        <row r="240">
          <cell r="A240" t="str">
            <v>MCBE0014</v>
          </cell>
          <cell r="B240" t="str">
            <v>Evacuation des eaux pluviales</v>
          </cell>
          <cell r="C240" t="str">
            <v>Evacuation EP alu droite</v>
          </cell>
          <cell r="D240" t="str">
            <v>Evacuation eaux pluviale alu droite diamètre 75- Hauteur 500</v>
          </cell>
        </row>
        <row r="241">
          <cell r="A241" t="str">
            <v>MCBE0014</v>
          </cell>
          <cell r="B241" t="str">
            <v>Evacuation des eaux pluviales</v>
          </cell>
          <cell r="C241" t="str">
            <v>Evacuation EP alu droite</v>
          </cell>
          <cell r="D241" t="str">
            <v>Evacuation eaux pluviale alu droite diamètre 75- Hauteur 500</v>
          </cell>
        </row>
        <row r="242">
          <cell r="A242" t="str">
            <v>MCBE0014</v>
          </cell>
          <cell r="B242" t="str">
            <v>Evacuation des eaux pluviales</v>
          </cell>
          <cell r="C242" t="str">
            <v>Evacuation EP alu droite</v>
          </cell>
          <cell r="D242" t="str">
            <v>Evacuation eaux pluviale alu droite diamètre 75- Hauteur 500</v>
          </cell>
        </row>
        <row r="243">
          <cell r="A243" t="str">
            <v>MCBE0015</v>
          </cell>
          <cell r="B243" t="str">
            <v>Evacuation des eaux pluviales</v>
          </cell>
          <cell r="C243" t="str">
            <v>Evacuation EP alu droite</v>
          </cell>
          <cell r="D243" t="str">
            <v>Evacuation eaux pluviale alu droite diamètre 75- Hauteur 600</v>
          </cell>
        </row>
        <row r="244">
          <cell r="A244" t="str">
            <v>MCBE0015</v>
          </cell>
          <cell r="B244" t="str">
            <v>Evacuation des eaux pluviales</v>
          </cell>
          <cell r="C244" t="str">
            <v>Evacuation EP alu droite</v>
          </cell>
          <cell r="D244" t="str">
            <v>Evacuation eaux pluviale alu droite diamètre 75- Hauteur 600</v>
          </cell>
        </row>
        <row r="245">
          <cell r="A245" t="str">
            <v>MCBE0015</v>
          </cell>
          <cell r="B245" t="str">
            <v>Evacuation des eaux pluviales</v>
          </cell>
          <cell r="C245" t="str">
            <v>Evacuation EP alu droite</v>
          </cell>
          <cell r="D245" t="str">
            <v>Evacuation eaux pluviale alu droite diamètre 75- Hauteur 600</v>
          </cell>
        </row>
        <row r="246">
          <cell r="A246" t="str">
            <v>MCBE0015</v>
          </cell>
          <cell r="B246" t="str">
            <v>Evacuation des eaux pluviales</v>
          </cell>
          <cell r="C246" t="str">
            <v>Evacuation EP alu droite</v>
          </cell>
          <cell r="D246" t="str">
            <v>Evacuation eaux pluviale alu droite diamètre 75- Hauteur 600</v>
          </cell>
        </row>
        <row r="247">
          <cell r="A247" t="str">
            <v>MCBE0015</v>
          </cell>
          <cell r="B247" t="str">
            <v>Evacuation des eaux pluviales</v>
          </cell>
          <cell r="C247" t="str">
            <v>Evacuation EP alu droite</v>
          </cell>
          <cell r="D247" t="str">
            <v>Evacuation eaux pluviale alu droite diamètre 75- Hauteur 600</v>
          </cell>
        </row>
        <row r="248">
          <cell r="A248" t="str">
            <v>MCBE0015</v>
          </cell>
          <cell r="B248" t="str">
            <v>Evacuation des eaux pluviales</v>
          </cell>
          <cell r="C248" t="str">
            <v>Evacuation EP alu droite</v>
          </cell>
          <cell r="D248" t="str">
            <v>Evacuation eaux pluviale alu droite diamètre 75- Hauteur 600</v>
          </cell>
        </row>
        <row r="249">
          <cell r="A249" t="str">
            <v>MCBE0016</v>
          </cell>
          <cell r="B249" t="str">
            <v>Evacuation des eaux pluviales</v>
          </cell>
          <cell r="C249" t="str">
            <v>Evacuation EP alu droite</v>
          </cell>
          <cell r="D249" t="str">
            <v>Evacuation eaux pluviale alu droite diamètre 80- Hauteur 450</v>
          </cell>
        </row>
        <row r="250">
          <cell r="A250" t="str">
            <v>MCBE0016</v>
          </cell>
          <cell r="B250" t="str">
            <v>Evacuation des eaux pluviales</v>
          </cell>
          <cell r="C250" t="str">
            <v>Evacuation EP alu droite</v>
          </cell>
          <cell r="D250" t="str">
            <v>Evacuation eaux pluviale alu droite diamètre 80- Hauteur 450</v>
          </cell>
        </row>
        <row r="251">
          <cell r="A251" t="str">
            <v>MCBE0016</v>
          </cell>
          <cell r="B251" t="str">
            <v>Evacuation des eaux pluviales</v>
          </cell>
          <cell r="C251" t="str">
            <v>Evacuation EP alu droite</v>
          </cell>
          <cell r="D251" t="str">
            <v>Evacuation eaux pluviale alu droite diamètre 80- Hauteur 450</v>
          </cell>
        </row>
        <row r="252">
          <cell r="A252" t="str">
            <v>MCBE0016</v>
          </cell>
          <cell r="B252" t="str">
            <v>Evacuation des eaux pluviales</v>
          </cell>
          <cell r="C252" t="str">
            <v>Evacuation EP alu droite</v>
          </cell>
          <cell r="D252" t="str">
            <v>Evacuation eaux pluviale alu droite diamètre 80- Hauteur 450</v>
          </cell>
        </row>
        <row r="253">
          <cell r="A253" t="str">
            <v>MCBE0016</v>
          </cell>
          <cell r="B253" t="str">
            <v>Evacuation des eaux pluviales</v>
          </cell>
          <cell r="C253" t="str">
            <v>Evacuation EP alu droite</v>
          </cell>
          <cell r="D253" t="str">
            <v>Evacuation eaux pluviale alu droite diamètre 80- Hauteur 450</v>
          </cell>
        </row>
        <row r="254">
          <cell r="A254" t="str">
            <v>MCBE0017</v>
          </cell>
          <cell r="B254" t="str">
            <v>Evacuation des eaux pluviales</v>
          </cell>
          <cell r="C254" t="str">
            <v>Evacuation EP alu droite</v>
          </cell>
          <cell r="D254" t="str">
            <v>Evacuation eaux pluviale alu droite diamètre 80 - Hauteur 500</v>
          </cell>
        </row>
        <row r="255">
          <cell r="A255" t="str">
            <v>MCBE0017</v>
          </cell>
          <cell r="B255" t="str">
            <v>Evacuation des eaux pluviales</v>
          </cell>
          <cell r="C255" t="str">
            <v>Evacuation EP alu droite</v>
          </cell>
          <cell r="D255" t="str">
            <v>Evacuation eaux pluviale alu droite diamètre 80 - Hauteur 500</v>
          </cell>
        </row>
        <row r="256">
          <cell r="A256" t="str">
            <v>MCBE0017</v>
          </cell>
          <cell r="B256" t="str">
            <v>Evacuation des eaux pluviales</v>
          </cell>
          <cell r="C256" t="str">
            <v>Evacuation EP alu droite</v>
          </cell>
          <cell r="D256" t="str">
            <v>Evacuation eaux pluviale alu droite diamètre 80 - Hauteur 500</v>
          </cell>
        </row>
        <row r="257">
          <cell r="A257" t="str">
            <v>MCBE0017</v>
          </cell>
          <cell r="B257" t="str">
            <v>Evacuation des eaux pluviales</v>
          </cell>
          <cell r="C257" t="str">
            <v>Evacuation EP alu droite</v>
          </cell>
          <cell r="D257" t="str">
            <v>Evacuation eaux pluviale alu droite diamètre 80 - Hauteur 500</v>
          </cell>
        </row>
        <row r="258">
          <cell r="A258" t="str">
            <v>MCBE0017</v>
          </cell>
          <cell r="B258" t="str">
            <v>Evacuation des eaux pluviales</v>
          </cell>
          <cell r="C258" t="str">
            <v>Evacuation EP alu droite</v>
          </cell>
          <cell r="D258" t="str">
            <v>Evacuation eaux pluviale alu droite diamètre 80 - Hauteur 500</v>
          </cell>
        </row>
        <row r="259">
          <cell r="A259" t="str">
            <v>MCBE0018</v>
          </cell>
          <cell r="B259" t="str">
            <v>Evacuation des eaux pluviales</v>
          </cell>
          <cell r="C259" t="str">
            <v>Evacuation EP alu droite</v>
          </cell>
          <cell r="D259" t="str">
            <v>Evacuation eaux pluviale alu droite diamètre 80- Hauteur 600</v>
          </cell>
        </row>
        <row r="260">
          <cell r="A260" t="str">
            <v>MCBE0018</v>
          </cell>
          <cell r="B260" t="str">
            <v>Evacuation des eaux pluviales</v>
          </cell>
          <cell r="C260" t="str">
            <v>Evacuation EP alu droite</v>
          </cell>
          <cell r="D260" t="str">
            <v>Evacuation eaux pluviale alu droite diamètre 80- Hauteur 600</v>
          </cell>
        </row>
        <row r="261">
          <cell r="A261" t="str">
            <v>MCBE0018</v>
          </cell>
          <cell r="B261" t="str">
            <v>Evacuation des eaux pluviales</v>
          </cell>
          <cell r="C261" t="str">
            <v>Evacuation EP alu droite</v>
          </cell>
          <cell r="D261" t="str">
            <v>Evacuation eaux pluviale alu droite diamètre 80- Hauteur 600</v>
          </cell>
        </row>
        <row r="262">
          <cell r="A262" t="str">
            <v>MCBE0018</v>
          </cell>
          <cell r="B262" t="str">
            <v>Evacuation des eaux pluviales</v>
          </cell>
          <cell r="C262" t="str">
            <v>Evacuation EP alu droite</v>
          </cell>
          <cell r="D262" t="str">
            <v>Evacuation eaux pluviale alu droite diamètre 80- Hauteur 600</v>
          </cell>
        </row>
        <row r="263">
          <cell r="A263" t="str">
            <v>MCBE0018</v>
          </cell>
          <cell r="B263" t="str">
            <v>Evacuation des eaux pluviales</v>
          </cell>
          <cell r="C263" t="str">
            <v>Evacuation EP alu droite</v>
          </cell>
          <cell r="D263" t="str">
            <v>Evacuation eaux pluviale alu droite diamètre 80- Hauteur 600</v>
          </cell>
        </row>
        <row r="264">
          <cell r="A264" t="str">
            <v>MCBE0018</v>
          </cell>
          <cell r="B264" t="str">
            <v>Evacuation des eaux pluviales</v>
          </cell>
          <cell r="C264" t="str">
            <v>Evacuation EP alu droite</v>
          </cell>
          <cell r="D264" t="str">
            <v>Evacuation eaux pluviale alu droite diamètre 80- Hauteur 600</v>
          </cell>
        </row>
        <row r="265">
          <cell r="A265" t="str">
            <v>MCBE0019</v>
          </cell>
          <cell r="B265" t="str">
            <v>Evacuation des eaux pluviales</v>
          </cell>
          <cell r="C265" t="str">
            <v>Evacuation EP alu droite</v>
          </cell>
          <cell r="D265" t="str">
            <v>Evacuation eaux pluviale alu droite diamètre 90- Hauteur 450</v>
          </cell>
        </row>
        <row r="266">
          <cell r="A266" t="str">
            <v>MCBE0019</v>
          </cell>
          <cell r="B266" t="str">
            <v>Evacuation des eaux pluviales</v>
          </cell>
          <cell r="C266" t="str">
            <v>Evacuation EP alu droite</v>
          </cell>
          <cell r="D266" t="str">
            <v>Evacuation eaux pluviale alu droite diamètre 90- Hauteur 450</v>
          </cell>
        </row>
        <row r="267">
          <cell r="A267" t="str">
            <v>MCBE0019</v>
          </cell>
          <cell r="B267" t="str">
            <v>Evacuation des eaux pluviales</v>
          </cell>
          <cell r="C267" t="str">
            <v>Evacuation EP alu droite</v>
          </cell>
          <cell r="D267" t="str">
            <v>Evacuation eaux pluviale alu droite diamètre 90- Hauteur 450</v>
          </cell>
        </row>
        <row r="268">
          <cell r="A268" t="str">
            <v>MCBE0019</v>
          </cell>
          <cell r="B268" t="str">
            <v>Evacuation des eaux pluviales</v>
          </cell>
          <cell r="C268" t="str">
            <v>Evacuation EP alu droite</v>
          </cell>
          <cell r="D268" t="str">
            <v>Evacuation eaux pluviale alu droite diamètre 90- Hauteur 450</v>
          </cell>
        </row>
        <row r="269">
          <cell r="A269" t="str">
            <v>MCBE0019</v>
          </cell>
          <cell r="B269" t="str">
            <v>Evacuation des eaux pluviales</v>
          </cell>
          <cell r="C269" t="str">
            <v>Evacuation EP alu droite</v>
          </cell>
          <cell r="D269" t="str">
            <v>Evacuation eaux pluviale alu droite diamètre 90- Hauteur 450</v>
          </cell>
        </row>
        <row r="270">
          <cell r="A270" t="str">
            <v>MCBE0020</v>
          </cell>
          <cell r="B270" t="str">
            <v>Evacuation des eaux pluviales</v>
          </cell>
          <cell r="C270" t="str">
            <v>Evacuation EP alu droite</v>
          </cell>
          <cell r="D270" t="str">
            <v>Evacuation eaux pluviale alu droite diamètre 95- Hauteur 500</v>
          </cell>
        </row>
        <row r="271">
          <cell r="A271" t="str">
            <v>MCBE0020</v>
          </cell>
          <cell r="B271" t="str">
            <v>Evacuation des eaux pluviales</v>
          </cell>
          <cell r="C271" t="str">
            <v>Evacuation EP alu droite</v>
          </cell>
          <cell r="D271" t="str">
            <v>Evacuation eaux pluviale alu droite diamètre 95- Hauteur 500</v>
          </cell>
        </row>
        <row r="272">
          <cell r="A272" t="str">
            <v>MCBE0020</v>
          </cell>
          <cell r="B272" t="str">
            <v>Evacuation des eaux pluviales</v>
          </cell>
          <cell r="C272" t="str">
            <v>Evacuation EP alu droite</v>
          </cell>
          <cell r="D272" t="str">
            <v>Evacuation eaux pluviale alu droite diamètre 95- Hauteur 500</v>
          </cell>
        </row>
        <row r="273">
          <cell r="A273" t="str">
            <v>MCBE0020</v>
          </cell>
          <cell r="B273" t="str">
            <v>Evacuation des eaux pluviales</v>
          </cell>
          <cell r="C273" t="str">
            <v>Evacuation EP alu droite</v>
          </cell>
          <cell r="D273" t="str">
            <v>Evacuation eaux pluviale alu droite diamètre 95- Hauteur 500</v>
          </cell>
        </row>
        <row r="274">
          <cell r="A274" t="str">
            <v>MCBE0020</v>
          </cell>
          <cell r="B274" t="str">
            <v>Evacuation des eaux pluviales</v>
          </cell>
          <cell r="C274" t="str">
            <v>Evacuation EP alu droite</v>
          </cell>
          <cell r="D274" t="str">
            <v>Evacuation eaux pluviale alu droite diamètre 95- Hauteur 500</v>
          </cell>
        </row>
        <row r="275">
          <cell r="A275" t="str">
            <v>MCBE0021</v>
          </cell>
          <cell r="B275" t="str">
            <v>Evacuation des eaux pluviales</v>
          </cell>
          <cell r="C275" t="str">
            <v>Evacuation EP alu droite</v>
          </cell>
          <cell r="D275" t="str">
            <v>Evacuation eaux pluviale alu droite diamètre 95- Hauteur 600</v>
          </cell>
        </row>
        <row r="276">
          <cell r="A276" t="str">
            <v>MCBE0021</v>
          </cell>
          <cell r="B276" t="str">
            <v>Evacuation des eaux pluviales</v>
          </cell>
          <cell r="C276" t="str">
            <v>Evacuation EP alu droite</v>
          </cell>
          <cell r="D276" t="str">
            <v>Evacuation eaux pluviale alu droite diamètre 95- Hauteur 600</v>
          </cell>
        </row>
        <row r="277">
          <cell r="A277" t="str">
            <v>MCBE0021</v>
          </cell>
          <cell r="B277" t="str">
            <v>Evacuation des eaux pluviales</v>
          </cell>
          <cell r="C277" t="str">
            <v>Evacuation EP alu droite</v>
          </cell>
          <cell r="D277" t="str">
            <v>Evacuation eaux pluviale alu droite diamètre 95- Hauteur 600</v>
          </cell>
        </row>
        <row r="278">
          <cell r="A278" t="str">
            <v>MCBE0021</v>
          </cell>
          <cell r="B278" t="str">
            <v>Evacuation des eaux pluviales</v>
          </cell>
          <cell r="C278" t="str">
            <v>Evacuation EP alu droite</v>
          </cell>
          <cell r="D278" t="str">
            <v>Evacuation eaux pluviale alu droite diamètre 95- Hauteur 600</v>
          </cell>
        </row>
        <row r="279">
          <cell r="A279" t="str">
            <v>MCBE0021</v>
          </cell>
          <cell r="B279" t="str">
            <v>Evacuation des eaux pluviales</v>
          </cell>
          <cell r="C279" t="str">
            <v>Evacuation EP alu droite</v>
          </cell>
          <cell r="D279" t="str">
            <v>Evacuation eaux pluviale alu droite diamètre 95- Hauteur 600</v>
          </cell>
        </row>
        <row r="280">
          <cell r="A280" t="str">
            <v>MCBE0021</v>
          </cell>
          <cell r="B280" t="str">
            <v>Evacuation des eaux pluviales</v>
          </cell>
          <cell r="C280" t="str">
            <v>Evacuation EP alu droite</v>
          </cell>
          <cell r="D280" t="str">
            <v>Evacuation eaux pluviale alu droite diamètre 95- Hauteur 600</v>
          </cell>
        </row>
        <row r="281">
          <cell r="A281" t="str">
            <v>MCBE0022</v>
          </cell>
          <cell r="B281" t="str">
            <v>Evacuation des eaux pluviales</v>
          </cell>
          <cell r="C281" t="str">
            <v>Evacuation EP plomb droite</v>
          </cell>
          <cell r="D281" t="str">
            <v xml:space="preserve">Evacuation eaux pluviale plomb droite diamètre int 70 - ext 75 - Hauteur 400 </v>
          </cell>
        </row>
        <row r="282">
          <cell r="A282" t="str">
            <v>MCBE0022</v>
          </cell>
          <cell r="B282" t="str">
            <v>Evacuation des eaux pluviales</v>
          </cell>
          <cell r="C282" t="str">
            <v>Evacuation EP plomb droite</v>
          </cell>
          <cell r="D282" t="str">
            <v xml:space="preserve">Evacuation eaux pluviale plomb droite diamètre int 70 - ext 75 - Hauteur 400 </v>
          </cell>
        </row>
        <row r="283">
          <cell r="A283" t="str">
            <v>MCBE0022</v>
          </cell>
          <cell r="B283" t="str">
            <v>Evacuation des eaux pluviales</v>
          </cell>
          <cell r="C283" t="str">
            <v>Evacuation EP plomb droite</v>
          </cell>
          <cell r="D283" t="str">
            <v xml:space="preserve">Evacuation eaux pluviale plomb droite diamètre int 70 - ext 75 - Hauteur 400 </v>
          </cell>
        </row>
        <row r="284">
          <cell r="A284" t="str">
            <v>MCBE0022</v>
          </cell>
          <cell r="B284" t="str">
            <v>Evacuation des eaux pluviales</v>
          </cell>
          <cell r="C284" t="str">
            <v>Evacuation EP plomb droite</v>
          </cell>
          <cell r="D284" t="str">
            <v xml:space="preserve">Evacuation eaux pluviale plomb droite diamètre int 70 - ext 75 - Hauteur 400 </v>
          </cell>
        </row>
        <row r="285">
          <cell r="A285" t="str">
            <v>MCBE0022</v>
          </cell>
          <cell r="B285" t="str">
            <v>Evacuation des eaux pluviales</v>
          </cell>
          <cell r="C285" t="str">
            <v>Evacuation EP plomb droite</v>
          </cell>
          <cell r="D285" t="str">
            <v xml:space="preserve">Evacuation eaux pluviale plomb droite diamètre int 70 - ext 75 - Hauteur 400 </v>
          </cell>
        </row>
        <row r="286">
          <cell r="A286" t="str">
            <v>MCBE0023</v>
          </cell>
          <cell r="B286" t="str">
            <v>Evacuation des eaux pluviales</v>
          </cell>
          <cell r="C286" t="str">
            <v>Evacuation EP plomb droite</v>
          </cell>
          <cell r="D286" t="str">
            <v>Evacuation eaux pluviale plomb droite diamètre int 95 - ext 95 - Hauteur 400</v>
          </cell>
        </row>
        <row r="287">
          <cell r="A287" t="str">
            <v>MCBE0023</v>
          </cell>
          <cell r="B287" t="str">
            <v>Evacuation des eaux pluviales</v>
          </cell>
          <cell r="C287" t="str">
            <v>Evacuation EP plomb droite</v>
          </cell>
          <cell r="D287" t="str">
            <v>Evacuation eaux pluviale plomb droite diamètre int 95 - ext 95 - Hauteur 400</v>
          </cell>
        </row>
        <row r="288">
          <cell r="A288" t="str">
            <v>MCBE0023</v>
          </cell>
          <cell r="B288" t="str">
            <v>Evacuation des eaux pluviales</v>
          </cell>
          <cell r="C288" t="str">
            <v>Evacuation EP plomb droite</v>
          </cell>
          <cell r="D288" t="str">
            <v>Evacuation eaux pluviale plomb droite diamètre int 95 - ext 95 - Hauteur 400</v>
          </cell>
        </row>
        <row r="289">
          <cell r="A289" t="str">
            <v>MCBE0023</v>
          </cell>
          <cell r="B289" t="str">
            <v>Evacuation des eaux pluviales</v>
          </cell>
          <cell r="C289" t="str">
            <v>Evacuation EP plomb droite</v>
          </cell>
          <cell r="D289" t="str">
            <v>Evacuation eaux pluviale plomb droite diamètre int 95 - ext 95 - Hauteur 400</v>
          </cell>
        </row>
        <row r="290">
          <cell r="A290" t="str">
            <v>MCBE0023</v>
          </cell>
          <cell r="B290" t="str">
            <v>Evacuation des eaux pluviales</v>
          </cell>
          <cell r="C290" t="str">
            <v>Evacuation EP plomb droite</v>
          </cell>
          <cell r="D290" t="str">
            <v>Evacuation eaux pluviale plomb droite diamètre int 95 - ext 95 - Hauteur 400</v>
          </cell>
        </row>
        <row r="291">
          <cell r="A291" t="str">
            <v>MCBE0024</v>
          </cell>
          <cell r="B291" t="str">
            <v>Evacuation des eaux pluviales</v>
          </cell>
          <cell r="C291" t="str">
            <v>Evacuation EP PVC droite</v>
          </cell>
          <cell r="D291" t="str">
            <v>Evacuation eaux pluviale PVC droite diamètre 100</v>
          </cell>
        </row>
        <row r="292">
          <cell r="A292" t="str">
            <v>MCBE0024</v>
          </cell>
          <cell r="B292" t="str">
            <v>Evacuation des eaux pluviales</v>
          </cell>
          <cell r="C292" t="str">
            <v>Evacuation EP PVC droite</v>
          </cell>
          <cell r="D292" t="str">
            <v>Evacuation eaux pluviale PVC droite diamètre 100</v>
          </cell>
        </row>
        <row r="293">
          <cell r="A293" t="str">
            <v>MCBE0024</v>
          </cell>
          <cell r="B293" t="str">
            <v>Evacuation des eaux pluviales</v>
          </cell>
          <cell r="C293" t="str">
            <v>Evacuation EP PVC droite</v>
          </cell>
          <cell r="D293" t="str">
            <v>Evacuation eaux pluviale PVC droite diamètre 100</v>
          </cell>
        </row>
        <row r="294">
          <cell r="A294" t="str">
            <v>MCBE0024</v>
          </cell>
          <cell r="B294" t="str">
            <v>Evacuation des eaux pluviales</v>
          </cell>
          <cell r="C294" t="str">
            <v>Evacuation EP PVC droite</v>
          </cell>
          <cell r="D294" t="str">
            <v>Evacuation eaux pluviale PVC droite diamètre 100</v>
          </cell>
        </row>
        <row r="295">
          <cell r="A295" t="str">
            <v>MCBE0024</v>
          </cell>
          <cell r="B295" t="str">
            <v>Evacuation des eaux pluviales</v>
          </cell>
          <cell r="C295" t="str">
            <v>Evacuation EP PVC droite</v>
          </cell>
          <cell r="D295" t="str">
            <v>Evacuation eaux pluviale PVC droite diamètre 100</v>
          </cell>
        </row>
        <row r="296">
          <cell r="A296" t="str">
            <v>MCBE0025</v>
          </cell>
          <cell r="B296" t="str">
            <v>Evacuation des eaux pluviales</v>
          </cell>
          <cell r="C296" t="str">
            <v>Evacuation EP PVC droite</v>
          </cell>
          <cell r="D296" t="str">
            <v>Evacuation eaux pluviale PVC droite diamètre 80</v>
          </cell>
        </row>
        <row r="297">
          <cell r="A297" t="str">
            <v>MCBE0025</v>
          </cell>
          <cell r="B297" t="str">
            <v>Evacuation des eaux pluviales</v>
          </cell>
          <cell r="C297" t="str">
            <v>Evacuation EP PVC droite</v>
          </cell>
          <cell r="D297" t="str">
            <v>Evacuation eaux pluviale PVC droite diamètre 80</v>
          </cell>
        </row>
        <row r="298">
          <cell r="A298" t="str">
            <v>MCBE0025</v>
          </cell>
          <cell r="B298" t="str">
            <v>Evacuation des eaux pluviales</v>
          </cell>
          <cell r="C298" t="str">
            <v>Evacuation EP PVC droite</v>
          </cell>
          <cell r="D298" t="str">
            <v>Evacuation eaux pluviale PVC droite diamètre 80</v>
          </cell>
        </row>
        <row r="299">
          <cell r="A299" t="str">
            <v>MCBE0025</v>
          </cell>
          <cell r="B299" t="str">
            <v>Evacuation des eaux pluviales</v>
          </cell>
          <cell r="C299" t="str">
            <v>Evacuation EP PVC droite</v>
          </cell>
          <cell r="D299" t="str">
            <v>Evacuation eaux pluviale PVC droite diamètre 80</v>
          </cell>
        </row>
        <row r="300">
          <cell r="A300" t="str">
            <v>MCBE0025</v>
          </cell>
          <cell r="B300" t="str">
            <v>Evacuation des eaux pluviales</v>
          </cell>
          <cell r="C300" t="str">
            <v>Evacuation EP PVC droite</v>
          </cell>
          <cell r="D300" t="str">
            <v>Evacuation eaux pluviale PVC droite diamètre 80</v>
          </cell>
        </row>
        <row r="301">
          <cell r="A301" t="str">
            <v>MCBE0026</v>
          </cell>
          <cell r="B301" t="str">
            <v>Evacuation des eaux pluviales</v>
          </cell>
          <cell r="C301" t="str">
            <v xml:space="preserve">Evacuation EP tronconique alu </v>
          </cell>
          <cell r="D301" t="str">
            <v>Evacuation EP tronconique alu diamètre 130 hauteur 300</v>
          </cell>
        </row>
        <row r="302">
          <cell r="A302" t="str">
            <v>MCBE0026</v>
          </cell>
          <cell r="B302" t="str">
            <v>Evacuation des eaux pluviales</v>
          </cell>
          <cell r="C302" t="str">
            <v xml:space="preserve">Evacuation EP tronconique alu </v>
          </cell>
          <cell r="D302" t="str">
            <v>Evacuation EP tronconique alu diamètre 130 hauteur 300</v>
          </cell>
        </row>
        <row r="303">
          <cell r="A303" t="str">
            <v>MCBE0026</v>
          </cell>
          <cell r="B303" t="str">
            <v>Evacuation des eaux pluviales</v>
          </cell>
          <cell r="C303" t="str">
            <v xml:space="preserve">Evacuation EP tronconique alu </v>
          </cell>
          <cell r="D303" t="str">
            <v>Evacuation EP tronconique alu diamètre 130 hauteur 300</v>
          </cell>
        </row>
        <row r="304">
          <cell r="A304" t="str">
            <v>MCBE0026</v>
          </cell>
          <cell r="B304" t="str">
            <v>Evacuation des eaux pluviales</v>
          </cell>
          <cell r="C304" t="str">
            <v xml:space="preserve">Evacuation EP tronconique alu </v>
          </cell>
          <cell r="D304" t="str">
            <v>Evacuation EP tronconique alu diamètre 130 hauteur 300</v>
          </cell>
        </row>
        <row r="305">
          <cell r="A305" t="str">
            <v>MCBE0026</v>
          </cell>
          <cell r="B305" t="str">
            <v>Evacuation des eaux pluviales</v>
          </cell>
          <cell r="C305" t="str">
            <v xml:space="preserve">Evacuation EP tronconique alu </v>
          </cell>
          <cell r="D305" t="str">
            <v>Evacuation EP tronconique alu diamètre 130 hauteur 300</v>
          </cell>
        </row>
        <row r="306">
          <cell r="A306" t="str">
            <v>MCBE0027</v>
          </cell>
          <cell r="B306" t="str">
            <v>Evacuation des eaux pluviales</v>
          </cell>
          <cell r="C306" t="str">
            <v xml:space="preserve">Evacuation EP tronconique alu </v>
          </cell>
          <cell r="D306" t="str">
            <v>Evacuation EP tronconique alu diamètre 150 hauteur 300</v>
          </cell>
        </row>
        <row r="307">
          <cell r="A307" t="str">
            <v>MCBE0027</v>
          </cell>
          <cell r="B307" t="str">
            <v>Evacuation des eaux pluviales</v>
          </cell>
          <cell r="C307" t="str">
            <v xml:space="preserve">Evacuation EP tronconique alu </v>
          </cell>
          <cell r="D307" t="str">
            <v>Evacuation EP tronconique alu diamètre 150 hauteur 300</v>
          </cell>
        </row>
        <row r="308">
          <cell r="A308" t="str">
            <v>MCBE0027</v>
          </cell>
          <cell r="B308" t="str">
            <v>Evacuation des eaux pluviales</v>
          </cell>
          <cell r="C308" t="str">
            <v xml:space="preserve">Evacuation EP tronconique alu </v>
          </cell>
          <cell r="D308" t="str">
            <v>Evacuation EP tronconique alu diamètre 150 hauteur 300</v>
          </cell>
        </row>
        <row r="309">
          <cell r="A309" t="str">
            <v>MCBE0027</v>
          </cell>
          <cell r="B309" t="str">
            <v>Evacuation des eaux pluviales</v>
          </cell>
          <cell r="C309" t="str">
            <v xml:space="preserve">Evacuation EP tronconique alu </v>
          </cell>
          <cell r="D309" t="str">
            <v>Evacuation EP tronconique alu diamètre 150 hauteur 300</v>
          </cell>
        </row>
        <row r="310">
          <cell r="A310" t="str">
            <v>MCBE0027</v>
          </cell>
          <cell r="B310" t="str">
            <v>Evacuation des eaux pluviales</v>
          </cell>
          <cell r="C310" t="str">
            <v xml:space="preserve">Evacuation EP tronconique alu </v>
          </cell>
          <cell r="D310" t="str">
            <v>Evacuation EP tronconique alu diamètre 150 hauteur 300</v>
          </cell>
        </row>
        <row r="311">
          <cell r="A311" t="str">
            <v>MCBE0028</v>
          </cell>
          <cell r="B311" t="str">
            <v>Evacuation des eaux pluviales</v>
          </cell>
          <cell r="C311" t="str">
            <v xml:space="preserve">Evacuation EP tronconique alu </v>
          </cell>
          <cell r="D311" t="str">
            <v>Evacuation EP tronconique alu diamètre 115 hauteur 300</v>
          </cell>
        </row>
        <row r="312">
          <cell r="A312" t="str">
            <v>MCBE0028</v>
          </cell>
          <cell r="B312" t="str">
            <v>Evacuation des eaux pluviales</v>
          </cell>
          <cell r="C312" t="str">
            <v xml:space="preserve">Evacuation EP tronconique alu </v>
          </cell>
          <cell r="D312" t="str">
            <v>Evacuation EP tronconique alu diamètre 115 hauteur 300</v>
          </cell>
        </row>
        <row r="313">
          <cell r="A313" t="str">
            <v>MCBE0028</v>
          </cell>
          <cell r="B313" t="str">
            <v>Evacuation des eaux pluviales</v>
          </cell>
          <cell r="C313" t="str">
            <v xml:space="preserve">Evacuation EP tronconique alu </v>
          </cell>
          <cell r="D313" t="str">
            <v>Evacuation EP tronconique alu diamètre 115 hauteur 300</v>
          </cell>
        </row>
        <row r="314">
          <cell r="A314" t="str">
            <v>MCBE0028</v>
          </cell>
          <cell r="B314" t="str">
            <v>Evacuation des eaux pluviales</v>
          </cell>
          <cell r="C314" t="str">
            <v xml:space="preserve">Evacuation EP tronconique alu </v>
          </cell>
          <cell r="D314" t="str">
            <v>Evacuation EP tronconique alu diamètre 115 hauteur 300</v>
          </cell>
        </row>
        <row r="315">
          <cell r="A315" t="str">
            <v>MCBE0029</v>
          </cell>
          <cell r="B315" t="str">
            <v>Evacuation des eaux pluviales</v>
          </cell>
          <cell r="C315" t="str">
            <v xml:space="preserve">Evacuation EP tronconique alu </v>
          </cell>
          <cell r="D315" t="str">
            <v>Evacuation EP tronconique alu diamètre 190 hauteur 300</v>
          </cell>
        </row>
        <row r="316">
          <cell r="A316" t="str">
            <v>MCBE0029</v>
          </cell>
          <cell r="B316" t="str">
            <v>Evacuation des eaux pluviales</v>
          </cell>
          <cell r="C316" t="str">
            <v xml:space="preserve">Evacuation EP tronconique alu </v>
          </cell>
          <cell r="D316" t="str">
            <v>Evacuation EP tronconique alu diamètre 190 hauteur 300</v>
          </cell>
        </row>
        <row r="317">
          <cell r="A317" t="str">
            <v>MCBE0029</v>
          </cell>
          <cell r="B317" t="str">
            <v>Evacuation des eaux pluviales</v>
          </cell>
          <cell r="C317" t="str">
            <v xml:space="preserve">Evacuation EP tronconique alu </v>
          </cell>
          <cell r="D317" t="str">
            <v>Evacuation EP tronconique alu diamètre 190 hauteur 300</v>
          </cell>
        </row>
        <row r="318">
          <cell r="A318" t="str">
            <v>MCBE0029</v>
          </cell>
          <cell r="B318" t="str">
            <v>Evacuation des eaux pluviales</v>
          </cell>
          <cell r="C318" t="str">
            <v xml:space="preserve">Evacuation EP tronconique alu </v>
          </cell>
          <cell r="D318" t="str">
            <v>Evacuation EP tronconique alu diamètre 190 hauteur 300</v>
          </cell>
        </row>
        <row r="319">
          <cell r="A319" t="str">
            <v>MCBE0029</v>
          </cell>
          <cell r="B319" t="str">
            <v>Evacuation des eaux pluviales</v>
          </cell>
          <cell r="C319" t="str">
            <v xml:space="preserve">Evacuation EP tronconique alu </v>
          </cell>
          <cell r="D319" t="str">
            <v>Evacuation EP tronconique alu diamètre 190 hauteur 300</v>
          </cell>
        </row>
        <row r="320">
          <cell r="A320" t="str">
            <v>MCBE0030</v>
          </cell>
          <cell r="B320" t="str">
            <v>Evacuation des eaux pluviales</v>
          </cell>
          <cell r="C320" t="str">
            <v xml:space="preserve">Evacuation EP tronconique alu </v>
          </cell>
          <cell r="D320" t="str">
            <v>Evacuation EP tronconique alu diamètre 95 hauteur 300</v>
          </cell>
        </row>
        <row r="321">
          <cell r="A321" t="str">
            <v>MCBE0030</v>
          </cell>
          <cell r="B321" t="str">
            <v>Evacuation des eaux pluviales</v>
          </cell>
          <cell r="C321" t="str">
            <v xml:space="preserve">Evacuation EP tronconique alu </v>
          </cell>
          <cell r="D321" t="str">
            <v>Evacuation EP tronconique alu diamètre 95 hauteur 300</v>
          </cell>
        </row>
        <row r="322">
          <cell r="A322" t="str">
            <v>MCBE0030</v>
          </cell>
          <cell r="B322" t="str">
            <v>Evacuation des eaux pluviales</v>
          </cell>
          <cell r="C322" t="str">
            <v xml:space="preserve">Evacuation EP tronconique alu </v>
          </cell>
          <cell r="D322" t="str">
            <v>Evacuation EP tronconique alu diamètre 95 hauteur 300</v>
          </cell>
        </row>
        <row r="323">
          <cell r="A323" t="str">
            <v>MCBE0030</v>
          </cell>
          <cell r="B323" t="str">
            <v>Evacuation des eaux pluviales</v>
          </cell>
          <cell r="C323" t="str">
            <v xml:space="preserve">Evacuation EP tronconique alu </v>
          </cell>
          <cell r="D323" t="str">
            <v>Evacuation EP tronconique alu diamètre 95 hauteur 300</v>
          </cell>
        </row>
        <row r="324">
          <cell r="A324" t="str">
            <v>MCBE0030</v>
          </cell>
          <cell r="B324" t="str">
            <v>Evacuation des eaux pluviales</v>
          </cell>
          <cell r="C324" t="str">
            <v xml:space="preserve">Evacuation EP tronconique alu </v>
          </cell>
          <cell r="D324" t="str">
            <v>Evacuation EP tronconique alu diamètre 95 hauteur 300</v>
          </cell>
        </row>
        <row r="325">
          <cell r="A325" t="str">
            <v>MCBE0031</v>
          </cell>
          <cell r="B325" t="str">
            <v>Evacuation des eaux pluviales</v>
          </cell>
          <cell r="C325" t="str">
            <v>Evacuation EP alu conique</v>
          </cell>
          <cell r="D325" t="str">
            <v>Evacuation EP alu conique diamètre 125</v>
          </cell>
        </row>
        <row r="326">
          <cell r="A326" t="str">
            <v>MCBE0031</v>
          </cell>
          <cell r="B326" t="str">
            <v>Evacuation des eaux pluviales</v>
          </cell>
          <cell r="C326" t="str">
            <v>Evacuation EP alu conique</v>
          </cell>
          <cell r="D326" t="str">
            <v>Evacuation EP alu conique diamètre 125</v>
          </cell>
        </row>
        <row r="327">
          <cell r="A327" t="str">
            <v>MCBE0031</v>
          </cell>
          <cell r="B327" t="str">
            <v>Evacuation des eaux pluviales</v>
          </cell>
          <cell r="C327" t="str">
            <v>Evacuation EP alu conique</v>
          </cell>
          <cell r="D327" t="str">
            <v>Evacuation EP alu conique diamètre 125</v>
          </cell>
        </row>
        <row r="328">
          <cell r="A328" t="str">
            <v>MCBE0031</v>
          </cell>
          <cell r="B328" t="str">
            <v>Evacuation des eaux pluviales</v>
          </cell>
          <cell r="C328" t="str">
            <v>Evacuation EP alu conique</v>
          </cell>
          <cell r="D328" t="str">
            <v>Evacuation EP alu conique diamètre 125</v>
          </cell>
        </row>
        <row r="329">
          <cell r="A329" t="str">
            <v>MCBE0031</v>
          </cell>
          <cell r="B329" t="str">
            <v>Evacuation des eaux pluviales</v>
          </cell>
          <cell r="C329" t="str">
            <v>Evacuation EP alu conique</v>
          </cell>
          <cell r="D329" t="str">
            <v>Evacuation EP alu conique diamètre 125</v>
          </cell>
        </row>
        <row r="330">
          <cell r="A330" t="str">
            <v>MCBE0032</v>
          </cell>
          <cell r="B330" t="str">
            <v>Evacuation des eaux pluviales</v>
          </cell>
          <cell r="C330" t="str">
            <v>boite à eau zinc</v>
          </cell>
          <cell r="D330" t="str">
            <v>Boite à eau zinc 200X200 Hauteur 200 D80</v>
          </cell>
        </row>
        <row r="331">
          <cell r="A331" t="str">
            <v>MCBE0032</v>
          </cell>
          <cell r="B331" t="str">
            <v>Evacuation des eaux pluviales</v>
          </cell>
          <cell r="C331" t="str">
            <v>boite à eau zinc</v>
          </cell>
          <cell r="D331" t="str">
            <v>Boite à eau zinc 200X200 Hauteur 200 D80</v>
          </cell>
        </row>
        <row r="332">
          <cell r="A332" t="str">
            <v>MCBE0032</v>
          </cell>
          <cell r="B332" t="str">
            <v>Evacuation des eaux pluviales</v>
          </cell>
          <cell r="C332" t="str">
            <v>boite à eau zinc</v>
          </cell>
          <cell r="D332" t="str">
            <v>Boite à eau zinc 200X200 Hauteur 200 D80</v>
          </cell>
        </row>
        <row r="333">
          <cell r="A333" t="str">
            <v>MCBE0032</v>
          </cell>
          <cell r="B333" t="str">
            <v>Evacuation des eaux pluviales</v>
          </cell>
          <cell r="C333" t="str">
            <v>boite à eau zinc</v>
          </cell>
          <cell r="D333" t="str">
            <v>Boite à eau zinc 200X200 Hauteur 200 D80</v>
          </cell>
        </row>
        <row r="334">
          <cell r="A334" t="str">
            <v>MCBE0032</v>
          </cell>
          <cell r="B334" t="str">
            <v>Evacuation des eaux pluviales</v>
          </cell>
          <cell r="C334" t="str">
            <v>boite à eau zinc</v>
          </cell>
          <cell r="D334" t="str">
            <v>Boite à eau zinc 200X200 Hauteur 200 D80</v>
          </cell>
        </row>
        <row r="335">
          <cell r="A335" t="str">
            <v>MCBE0032</v>
          </cell>
          <cell r="B335" t="str">
            <v>Evacuation des eaux pluviales</v>
          </cell>
          <cell r="C335" t="str">
            <v>boite à eau zinc</v>
          </cell>
          <cell r="D335" t="str">
            <v>Boite à eau zinc 200X200 Hauteur 200 D80</v>
          </cell>
        </row>
        <row r="336">
          <cell r="A336" t="str">
            <v>MCBE0033</v>
          </cell>
          <cell r="B336" t="str">
            <v>Evacuation des eaux pluviales</v>
          </cell>
          <cell r="C336" t="str">
            <v>boite à eau zinc</v>
          </cell>
          <cell r="D336" t="str">
            <v>Boite à eau zinc 200X200 Hauteur 200 D95</v>
          </cell>
        </row>
        <row r="337">
          <cell r="A337" t="str">
            <v>MCBE0033</v>
          </cell>
          <cell r="B337" t="str">
            <v>Evacuation des eaux pluviales</v>
          </cell>
          <cell r="C337" t="str">
            <v>boite à eau zinc</v>
          </cell>
          <cell r="D337" t="str">
            <v>Boite à eau zinc 200X200 Hauteur 200 D95</v>
          </cell>
        </row>
        <row r="338">
          <cell r="A338" t="str">
            <v>MCBE0033</v>
          </cell>
          <cell r="B338" t="str">
            <v>Evacuation des eaux pluviales</v>
          </cell>
          <cell r="C338" t="str">
            <v>boite à eau zinc</v>
          </cell>
          <cell r="D338" t="str">
            <v>Boite à eau zinc 200X200 Hauteur 200 D95</v>
          </cell>
        </row>
        <row r="339">
          <cell r="A339" t="str">
            <v>MCBE0033</v>
          </cell>
          <cell r="B339" t="str">
            <v>Evacuation des eaux pluviales</v>
          </cell>
          <cell r="C339" t="str">
            <v>boite à eau zinc</v>
          </cell>
          <cell r="D339" t="str">
            <v>Boite à eau zinc 200X200 Hauteur 200 D95</v>
          </cell>
        </row>
        <row r="340">
          <cell r="A340" t="str">
            <v>MCBE0034</v>
          </cell>
          <cell r="B340" t="str">
            <v>Evacuation des eaux pluviales</v>
          </cell>
          <cell r="C340" t="str">
            <v>boite à eau zinc</v>
          </cell>
          <cell r="D340" t="str">
            <v>Boite à eau zinc 200X200 Hauteur 200 D100</v>
          </cell>
        </row>
        <row r="341">
          <cell r="A341" t="str">
            <v>MCBE0034</v>
          </cell>
          <cell r="B341" t="str">
            <v>Evacuation des eaux pluviales</v>
          </cell>
          <cell r="C341" t="str">
            <v>boite à eau zinc</v>
          </cell>
          <cell r="D341" t="str">
            <v>Boite à eau zinc 200X200 Hauteur 200 D100</v>
          </cell>
        </row>
        <row r="342">
          <cell r="A342" t="str">
            <v>MCBE0034</v>
          </cell>
          <cell r="B342" t="str">
            <v>Evacuation des eaux pluviales</v>
          </cell>
          <cell r="C342" t="str">
            <v>boite à eau zinc</v>
          </cell>
          <cell r="D342" t="str">
            <v>Boite à eau zinc 200X200 Hauteur 200 D100</v>
          </cell>
        </row>
        <row r="343">
          <cell r="A343" t="str">
            <v>MCBE0034</v>
          </cell>
          <cell r="B343" t="str">
            <v>Evacuation des eaux pluviales</v>
          </cell>
          <cell r="C343" t="str">
            <v>boite à eau zinc</v>
          </cell>
          <cell r="D343" t="str">
            <v>Boite à eau zinc 200X200 Hauteur 200 D100</v>
          </cell>
        </row>
        <row r="344">
          <cell r="A344" t="str">
            <v>MCBE0034</v>
          </cell>
          <cell r="B344" t="str">
            <v>Evacuation des eaux pluviales</v>
          </cell>
          <cell r="C344" t="str">
            <v>boite à eau zinc</v>
          </cell>
          <cell r="D344" t="str">
            <v>Boite à eau zinc 200X200 Hauteur 200 D100</v>
          </cell>
        </row>
        <row r="345">
          <cell r="A345" t="str">
            <v>MCBE0034</v>
          </cell>
          <cell r="B345" t="str">
            <v>Evacuation des eaux pluviales</v>
          </cell>
          <cell r="C345" t="str">
            <v>boite à eau zinc</v>
          </cell>
          <cell r="D345" t="str">
            <v>Boite à eau zinc 200X200 Hauteur 200 D100</v>
          </cell>
        </row>
        <row r="346">
          <cell r="A346" t="str">
            <v>MCBE0035</v>
          </cell>
          <cell r="B346" t="str">
            <v>Evacuation des eaux pluviales</v>
          </cell>
          <cell r="C346" t="str">
            <v>boite à eau universelle</v>
          </cell>
          <cell r="D346" t="str">
            <v>Boite à eau universelle 80-100mm</v>
          </cell>
        </row>
        <row r="347">
          <cell r="A347" t="str">
            <v>MCBE0035</v>
          </cell>
          <cell r="B347" t="str">
            <v>Evacuation des eaux pluviales</v>
          </cell>
          <cell r="C347" t="str">
            <v>boite à eau universelle</v>
          </cell>
          <cell r="D347" t="str">
            <v>Boite à eau universelle 80-100mm</v>
          </cell>
        </row>
        <row r="348">
          <cell r="A348" t="str">
            <v>MCBE0035</v>
          </cell>
          <cell r="B348" t="str">
            <v>Evacuation des eaux pluviales</v>
          </cell>
          <cell r="C348" t="str">
            <v>boite à eau universelle</v>
          </cell>
          <cell r="D348" t="str">
            <v>Boite à eau universelle 80-100mm</v>
          </cell>
        </row>
        <row r="349">
          <cell r="A349" t="str">
            <v>MCBE0035</v>
          </cell>
          <cell r="B349" t="str">
            <v>Evacuation des eaux pluviales</v>
          </cell>
          <cell r="C349" t="str">
            <v>boite à eau universelle</v>
          </cell>
          <cell r="D349" t="str">
            <v>Boite à eau universelle 80-100mm</v>
          </cell>
        </row>
        <row r="350">
          <cell r="A350" t="str">
            <v>MCBE0035</v>
          </cell>
          <cell r="B350" t="str">
            <v>Evacuation des eaux pluviales</v>
          </cell>
          <cell r="C350" t="str">
            <v>boite à eau universelle</v>
          </cell>
          <cell r="D350" t="str">
            <v>Boite à eau universelle 80-100mm</v>
          </cell>
        </row>
        <row r="351">
          <cell r="A351" t="str">
            <v>MCBE0036</v>
          </cell>
          <cell r="B351" t="str">
            <v>Evacuation des eaux pluviales</v>
          </cell>
          <cell r="C351" t="str">
            <v>Deversoir alu</v>
          </cell>
          <cell r="D351" t="str">
            <v>Déversoir alu 200X100</v>
          </cell>
        </row>
        <row r="352">
          <cell r="A352" t="str">
            <v>MCBE0036</v>
          </cell>
          <cell r="B352" t="str">
            <v>Evacuation des eaux pluviales</v>
          </cell>
          <cell r="C352" t="str">
            <v>Deversoir alu</v>
          </cell>
          <cell r="D352" t="str">
            <v>Déversoir alu 200X100</v>
          </cell>
        </row>
        <row r="353">
          <cell r="A353" t="str">
            <v>MCBE0036</v>
          </cell>
          <cell r="B353" t="str">
            <v>Evacuation des eaux pluviales</v>
          </cell>
          <cell r="C353" t="str">
            <v>Deversoir alu</v>
          </cell>
          <cell r="D353" t="str">
            <v>Déversoir alu 200X100</v>
          </cell>
        </row>
        <row r="354">
          <cell r="A354" t="str">
            <v>MCBE0036</v>
          </cell>
          <cell r="B354" t="str">
            <v>Evacuation des eaux pluviales</v>
          </cell>
          <cell r="C354" t="str">
            <v>Deversoir alu</v>
          </cell>
          <cell r="D354" t="str">
            <v>Déversoir alu 200X100</v>
          </cell>
        </row>
        <row r="355">
          <cell r="A355" t="str">
            <v>MCBE0036</v>
          </cell>
          <cell r="B355" t="str">
            <v>Evacuation des eaux pluviales</v>
          </cell>
          <cell r="C355" t="str">
            <v>Deversoir alu</v>
          </cell>
          <cell r="D355" t="str">
            <v>Déversoir alu 200X100</v>
          </cell>
        </row>
        <row r="356">
          <cell r="A356" t="str">
            <v>MCBE0037</v>
          </cell>
          <cell r="B356" t="str">
            <v>Evacuation des eaux pluviales</v>
          </cell>
          <cell r="C356" t="str">
            <v>Deversoir alu</v>
          </cell>
          <cell r="D356" t="str">
            <v>Déversoir alu 100X100</v>
          </cell>
        </row>
        <row r="357">
          <cell r="A357" t="str">
            <v>MCBE0037</v>
          </cell>
          <cell r="B357" t="str">
            <v>Evacuation des eaux pluviales</v>
          </cell>
          <cell r="C357" t="str">
            <v>Deversoir alu</v>
          </cell>
          <cell r="D357" t="str">
            <v>Déversoir alu 100X100</v>
          </cell>
        </row>
        <row r="358">
          <cell r="A358" t="str">
            <v>MCBE0037</v>
          </cell>
          <cell r="B358" t="str">
            <v>Evacuation des eaux pluviales</v>
          </cell>
          <cell r="C358" t="str">
            <v>Deversoir alu</v>
          </cell>
          <cell r="D358" t="str">
            <v>Déversoir alu 100X100</v>
          </cell>
        </row>
        <row r="359">
          <cell r="A359" t="str">
            <v>MCBE0037</v>
          </cell>
          <cell r="B359" t="str">
            <v>Evacuation des eaux pluviales</v>
          </cell>
          <cell r="C359" t="str">
            <v>Deversoir alu</v>
          </cell>
          <cell r="D359" t="str">
            <v>Déversoir alu 100X100</v>
          </cell>
        </row>
        <row r="360">
          <cell r="A360" t="str">
            <v>MCBE0037</v>
          </cell>
          <cell r="B360" t="str">
            <v>Evacuation des eaux pluviales</v>
          </cell>
          <cell r="C360" t="str">
            <v>Deversoir alu</v>
          </cell>
          <cell r="D360" t="str">
            <v>Déversoir alu 100X100</v>
          </cell>
        </row>
        <row r="361">
          <cell r="A361" t="str">
            <v>MCBE0038</v>
          </cell>
          <cell r="B361" t="str">
            <v>Evacuation des eaux pluviales</v>
          </cell>
          <cell r="C361" t="str">
            <v>Trop plein alu</v>
          </cell>
          <cell r="D361" t="str">
            <v>Trop plein alu diamètre 40 hauteur 600</v>
          </cell>
        </row>
        <row r="362">
          <cell r="A362" t="str">
            <v>MCBE0038</v>
          </cell>
          <cell r="B362" t="str">
            <v>Evacuation des eaux pluviales</v>
          </cell>
          <cell r="C362" t="str">
            <v>Trop plein alu</v>
          </cell>
          <cell r="D362" t="str">
            <v>Trop plein alu diamètre 40 hauteur 600</v>
          </cell>
        </row>
        <row r="363">
          <cell r="A363" t="str">
            <v>MCBE0038</v>
          </cell>
          <cell r="B363" t="str">
            <v>Evacuation des eaux pluviales</v>
          </cell>
          <cell r="C363" t="str">
            <v>Trop plein alu</v>
          </cell>
          <cell r="D363" t="str">
            <v>Trop plein alu diamètre 40 hauteur 600</v>
          </cell>
        </row>
        <row r="364">
          <cell r="A364" t="str">
            <v>MCBE0038</v>
          </cell>
          <cell r="B364" t="str">
            <v>Evacuation des eaux pluviales</v>
          </cell>
          <cell r="C364" t="str">
            <v>Trop plein alu</v>
          </cell>
          <cell r="D364" t="str">
            <v>Trop plein alu diamètre 40 hauteur 600</v>
          </cell>
        </row>
        <row r="365">
          <cell r="A365" t="str">
            <v>MCBE0038</v>
          </cell>
          <cell r="B365" t="str">
            <v>Evacuation des eaux pluviales</v>
          </cell>
          <cell r="C365" t="str">
            <v>Trop plein alu</v>
          </cell>
          <cell r="D365" t="str">
            <v>Trop plein alu diamètre 40 hauteur 600</v>
          </cell>
        </row>
        <row r="366">
          <cell r="A366" t="str">
            <v>MCBE0038</v>
          </cell>
          <cell r="B366" t="str">
            <v>Evacuation des eaux pluviales</v>
          </cell>
          <cell r="C366" t="str">
            <v>Trop plein alu</v>
          </cell>
          <cell r="D366" t="str">
            <v>Trop plein alu diamètre 40 hauteur 600</v>
          </cell>
        </row>
        <row r="367">
          <cell r="A367" t="str">
            <v>MCBE0039</v>
          </cell>
          <cell r="B367" t="str">
            <v>Evacuation des eaux pluviales</v>
          </cell>
          <cell r="C367" t="str">
            <v>Trop plein alu</v>
          </cell>
          <cell r="D367" t="str">
            <v>Trop plein alu diamètre 60 hauteur 600</v>
          </cell>
        </row>
        <row r="368">
          <cell r="A368" t="str">
            <v>MCBE0039</v>
          </cell>
          <cell r="B368" t="str">
            <v>Evacuation des eaux pluviales</v>
          </cell>
          <cell r="C368" t="str">
            <v>Trop plein alu</v>
          </cell>
          <cell r="D368" t="str">
            <v>Trop plein alu diamètre 60 hauteur 600</v>
          </cell>
        </row>
        <row r="369">
          <cell r="A369" t="str">
            <v>MCBE0039</v>
          </cell>
          <cell r="B369" t="str">
            <v>Evacuation des eaux pluviales</v>
          </cell>
          <cell r="C369" t="str">
            <v>Trop plein alu</v>
          </cell>
          <cell r="D369" t="str">
            <v>Trop plein alu diamètre 60 hauteur 600</v>
          </cell>
        </row>
        <row r="370">
          <cell r="A370" t="str">
            <v>MCBE0039</v>
          </cell>
          <cell r="B370" t="str">
            <v>Evacuation des eaux pluviales</v>
          </cell>
          <cell r="C370" t="str">
            <v>Trop plein alu</v>
          </cell>
          <cell r="D370" t="str">
            <v>Trop plein alu diamètre 60 hauteur 600</v>
          </cell>
        </row>
        <row r="371">
          <cell r="A371" t="str">
            <v>MCBE0039</v>
          </cell>
          <cell r="B371" t="str">
            <v>Evacuation des eaux pluviales</v>
          </cell>
          <cell r="C371" t="str">
            <v>Trop plein alu</v>
          </cell>
          <cell r="D371" t="str">
            <v>Trop plein alu diamètre 60 hauteur 600</v>
          </cell>
        </row>
        <row r="372">
          <cell r="A372" t="str">
            <v>MCBE0039</v>
          </cell>
          <cell r="B372" t="str">
            <v>Evacuation des eaux pluviales</v>
          </cell>
          <cell r="C372" t="str">
            <v>Trop plein alu</v>
          </cell>
          <cell r="D372" t="str">
            <v>Trop plein alu diamètre 60 hauteur 600</v>
          </cell>
        </row>
        <row r="373">
          <cell r="A373" t="str">
            <v>MCBE0040</v>
          </cell>
          <cell r="B373" t="str">
            <v>Evacuation des eaux pluviales</v>
          </cell>
          <cell r="C373" t="str">
            <v>Trop plein alu</v>
          </cell>
          <cell r="D373" t="str">
            <v>Trop plein alu diamètre 80 hauteur 600</v>
          </cell>
        </row>
        <row r="374">
          <cell r="A374" t="str">
            <v>MCBE0040</v>
          </cell>
          <cell r="B374" t="str">
            <v>Evacuation des eaux pluviales</v>
          </cell>
          <cell r="C374" t="str">
            <v>Trop plein alu</v>
          </cell>
          <cell r="D374" t="str">
            <v>Trop plein alu diamètre 80 hauteur 600</v>
          </cell>
        </row>
        <row r="375">
          <cell r="A375" t="str">
            <v>MCBE0040</v>
          </cell>
          <cell r="B375" t="str">
            <v>Evacuation des eaux pluviales</v>
          </cell>
          <cell r="C375" t="str">
            <v>Trop plein alu</v>
          </cell>
          <cell r="D375" t="str">
            <v>Trop plein alu diamètre 80 hauteur 600</v>
          </cell>
        </row>
        <row r="376">
          <cell r="A376" t="str">
            <v>MCBE0040</v>
          </cell>
          <cell r="B376" t="str">
            <v>Evacuation des eaux pluviales</v>
          </cell>
          <cell r="C376" t="str">
            <v>Trop plein alu</v>
          </cell>
          <cell r="D376" t="str">
            <v>Trop plein alu diamètre 80 hauteur 600</v>
          </cell>
        </row>
        <row r="377">
          <cell r="A377" t="str">
            <v>MCBE0040</v>
          </cell>
          <cell r="B377" t="str">
            <v>Evacuation des eaux pluviales</v>
          </cell>
          <cell r="C377" t="str">
            <v>Trop plein alu</v>
          </cell>
          <cell r="D377" t="str">
            <v>Trop plein alu diamètre 80 hauteur 600</v>
          </cell>
        </row>
        <row r="378">
          <cell r="A378" t="str">
            <v>MCBE0041</v>
          </cell>
          <cell r="B378" t="str">
            <v>Evacuation des eaux pluviales</v>
          </cell>
          <cell r="C378" t="str">
            <v>Trop plein alu</v>
          </cell>
          <cell r="D378" t="str">
            <v>Trop plein alu diamètre 40 hauteur 400</v>
          </cell>
        </row>
        <row r="379">
          <cell r="A379" t="str">
            <v>MCBE0041</v>
          </cell>
          <cell r="B379" t="str">
            <v>Evacuation des eaux pluviales</v>
          </cell>
          <cell r="C379" t="str">
            <v>Trop plein alu</v>
          </cell>
          <cell r="D379" t="str">
            <v>Trop plein alu diamètre 40 hauteur 400</v>
          </cell>
        </row>
        <row r="380">
          <cell r="A380" t="str">
            <v>MCBE0041</v>
          </cell>
          <cell r="B380" t="str">
            <v>Evacuation des eaux pluviales</v>
          </cell>
          <cell r="C380" t="str">
            <v>Trop plein alu</v>
          </cell>
          <cell r="D380" t="str">
            <v>Trop plein alu diamètre 40 hauteur 400</v>
          </cell>
        </row>
        <row r="381">
          <cell r="A381" t="str">
            <v>MCBE0041</v>
          </cell>
          <cell r="B381" t="str">
            <v>Evacuation des eaux pluviales</v>
          </cell>
          <cell r="C381" t="str">
            <v>Trop plein alu</v>
          </cell>
          <cell r="D381" t="str">
            <v>Trop plein alu diamètre 40 hauteur 400</v>
          </cell>
        </row>
        <row r="382">
          <cell r="A382" t="str">
            <v>MCBE0041</v>
          </cell>
          <cell r="B382" t="str">
            <v>Evacuation des eaux pluviales</v>
          </cell>
          <cell r="C382" t="str">
            <v>Trop plein alu</v>
          </cell>
          <cell r="D382" t="str">
            <v>Trop plein alu diamètre 40 hauteur 400</v>
          </cell>
        </row>
        <row r="383">
          <cell r="A383" t="str">
            <v>MCBE0041</v>
          </cell>
          <cell r="B383" t="str">
            <v>Evacuation des eaux pluviales</v>
          </cell>
          <cell r="C383" t="str">
            <v>Trop plein alu</v>
          </cell>
          <cell r="D383" t="str">
            <v>Trop plein alu diamètre 40 hauteur 400</v>
          </cell>
        </row>
        <row r="384">
          <cell r="A384" t="str">
            <v>MCBE0042</v>
          </cell>
          <cell r="B384" t="str">
            <v>Evacuation des eaux pluviales</v>
          </cell>
          <cell r="C384" t="str">
            <v>Trop plein galva</v>
          </cell>
          <cell r="D384" t="str">
            <v>Trop plein galva ép 12/10, périmètre de sortie de 501 à 600mm</v>
          </cell>
        </row>
        <row r="385">
          <cell r="A385" t="str">
            <v>MCBE0042</v>
          </cell>
          <cell r="B385" t="str">
            <v>Evacuation des eaux pluviales</v>
          </cell>
          <cell r="C385" t="str">
            <v>Trop plein galva</v>
          </cell>
          <cell r="D385" t="str">
            <v>Trop plein galva ép 12/10, périmètre de sortie de 501 à 600mm</v>
          </cell>
        </row>
        <row r="386">
          <cell r="A386" t="str">
            <v>MCBE0042</v>
          </cell>
          <cell r="B386" t="str">
            <v>Evacuation des eaux pluviales</v>
          </cell>
          <cell r="C386" t="str">
            <v>Trop plein galva</v>
          </cell>
          <cell r="D386" t="str">
            <v>Trop plein galva ép 12/10, périmètre de sortie de 501 à 600mm</v>
          </cell>
        </row>
        <row r="387">
          <cell r="A387" t="str">
            <v>MCBE0042</v>
          </cell>
          <cell r="B387" t="str">
            <v>Evacuation des eaux pluviales</v>
          </cell>
          <cell r="C387" t="str">
            <v>Trop plein galva</v>
          </cell>
          <cell r="D387" t="str">
            <v>Trop plein galva ép 12/10, périmètre de sortie de 501 à 600mm</v>
          </cell>
        </row>
        <row r="388">
          <cell r="A388" t="str">
            <v>MCBE0042</v>
          </cell>
          <cell r="B388" t="str">
            <v>Evacuation des eaux pluviales</v>
          </cell>
          <cell r="C388" t="str">
            <v>Trop plein galva</v>
          </cell>
          <cell r="D388" t="str">
            <v>Trop plein galva ép 12/10, périmètre de sortie de 501 à 600mm</v>
          </cell>
        </row>
        <row r="389">
          <cell r="A389" t="str">
            <v>MCBE0043</v>
          </cell>
          <cell r="B389" t="str">
            <v>Evacuation des eaux pluviales</v>
          </cell>
          <cell r="C389" t="str">
            <v>Trop plein galva</v>
          </cell>
          <cell r="D389" t="str">
            <v>Trop plein galva ép 12/10, périmètre de sortie de 701 à 800mm</v>
          </cell>
        </row>
        <row r="390">
          <cell r="A390" t="str">
            <v>MCBE0043</v>
          </cell>
          <cell r="B390" t="str">
            <v>Evacuation des eaux pluviales</v>
          </cell>
          <cell r="C390" t="str">
            <v>Trop plein galva</v>
          </cell>
          <cell r="D390" t="str">
            <v>Trop plein galva ép 12/10, périmètre de sortie de 701 à 800mm</v>
          </cell>
        </row>
        <row r="391">
          <cell r="A391" t="str">
            <v>MCBE0043</v>
          </cell>
          <cell r="B391" t="str">
            <v>Evacuation des eaux pluviales</v>
          </cell>
          <cell r="C391" t="str">
            <v>Trop plein galva</v>
          </cell>
          <cell r="D391" t="str">
            <v>Trop plein galva ép 12/10, périmètre de sortie de 701 à 800mm</v>
          </cell>
        </row>
        <row r="392">
          <cell r="A392" t="str">
            <v>MCBE0043</v>
          </cell>
          <cell r="B392" t="str">
            <v>Evacuation des eaux pluviales</v>
          </cell>
          <cell r="C392" t="str">
            <v>Trop plein galva</v>
          </cell>
          <cell r="D392" t="str">
            <v>Trop plein galva ép 12/10, périmètre de sortie de 701 à 800mm</v>
          </cell>
        </row>
        <row r="393">
          <cell r="A393" t="str">
            <v>MCBE0043</v>
          </cell>
          <cell r="B393" t="str">
            <v>Evacuation des eaux pluviales</v>
          </cell>
          <cell r="C393" t="str">
            <v>Trop plein galva</v>
          </cell>
          <cell r="D393" t="str">
            <v>Trop plein galva ép 12/10, périmètre de sortie de 701 à 800mm</v>
          </cell>
        </row>
        <row r="394">
          <cell r="A394" t="str">
            <v>MCBE0044</v>
          </cell>
          <cell r="B394" t="str">
            <v>Evacuation des eaux pluviales</v>
          </cell>
          <cell r="C394" t="str">
            <v>Trop plein galva</v>
          </cell>
          <cell r="D394" t="str">
            <v>Trop plein galva ép. 12/10, périmètre de sortie de 1101 à 1200mm</v>
          </cell>
        </row>
        <row r="395">
          <cell r="A395" t="str">
            <v>MCBE0044</v>
          </cell>
          <cell r="B395" t="str">
            <v>Evacuation des eaux pluviales</v>
          </cell>
          <cell r="C395" t="str">
            <v>Trop plein galva</v>
          </cell>
          <cell r="D395" t="str">
            <v>Trop plein galva ép. 12/10, périmètre de sortie de 1101 à 1200mm</v>
          </cell>
        </row>
        <row r="396">
          <cell r="A396" t="str">
            <v>MCBE0044</v>
          </cell>
          <cell r="B396" t="str">
            <v>Evacuation des eaux pluviales</v>
          </cell>
          <cell r="C396" t="str">
            <v>Trop plein galva</v>
          </cell>
          <cell r="D396" t="str">
            <v>Trop plein galva ép. 12/10, périmètre de sortie de 1101 à 1200mm</v>
          </cell>
        </row>
        <row r="397">
          <cell r="A397" t="str">
            <v>MCBE0044</v>
          </cell>
          <cell r="B397" t="str">
            <v>Evacuation des eaux pluviales</v>
          </cell>
          <cell r="C397" t="str">
            <v>Trop plein galva</v>
          </cell>
          <cell r="D397" t="str">
            <v>Trop plein galva ép. 12/10, périmètre de sortie de 1101 à 1200mm</v>
          </cell>
        </row>
        <row r="398">
          <cell r="A398" t="str">
            <v>MCBE0044</v>
          </cell>
          <cell r="B398" t="str">
            <v>Evacuation des eaux pluviales</v>
          </cell>
          <cell r="C398" t="str">
            <v>Trop plein galva</v>
          </cell>
          <cell r="D398" t="str">
            <v>Trop plein galva ép. 12/10, périmètre de sortie de 1101 à 1200mm</v>
          </cell>
        </row>
        <row r="399">
          <cell r="A399" t="str">
            <v>MCBE0045</v>
          </cell>
          <cell r="B399" t="str">
            <v>Evacuation des eaux pluviales</v>
          </cell>
          <cell r="C399" t="str">
            <v>Trop plein galva</v>
          </cell>
          <cell r="D399" t="str">
            <v>Trop plein galva ép 15/10, périmètre de sortie de 501 à 600mm</v>
          </cell>
        </row>
        <row r="400">
          <cell r="A400" t="str">
            <v>MCBE0045</v>
          </cell>
          <cell r="B400" t="str">
            <v>Evacuation des eaux pluviales</v>
          </cell>
          <cell r="C400" t="str">
            <v>Trop plein galva</v>
          </cell>
          <cell r="D400" t="str">
            <v>Trop plein galva ép 15/10, périmètre de sortie de 501 à 600mm</v>
          </cell>
        </row>
        <row r="401">
          <cell r="A401" t="str">
            <v>MCBE0045</v>
          </cell>
          <cell r="B401" t="str">
            <v>Evacuation des eaux pluviales</v>
          </cell>
          <cell r="C401" t="str">
            <v>Trop plein galva</v>
          </cell>
          <cell r="D401" t="str">
            <v>Trop plein galva ép 15/10, périmètre de sortie de 501 à 600mm</v>
          </cell>
        </row>
        <row r="402">
          <cell r="A402" t="str">
            <v>MCBE0045</v>
          </cell>
          <cell r="B402" t="str">
            <v>Evacuation des eaux pluviales</v>
          </cell>
          <cell r="C402" t="str">
            <v>Trop plein galva</v>
          </cell>
          <cell r="D402" t="str">
            <v>Trop plein galva ép 15/10, périmètre de sortie de 501 à 600mm</v>
          </cell>
        </row>
        <row r="403">
          <cell r="A403" t="str">
            <v>MCBE0045</v>
          </cell>
          <cell r="B403" t="str">
            <v>Evacuation des eaux pluviales</v>
          </cell>
          <cell r="C403" t="str">
            <v>Trop plein galva</v>
          </cell>
          <cell r="D403" t="str">
            <v>Trop plein galva ép 15/10, périmètre de sortie de 501 à 600mm</v>
          </cell>
        </row>
        <row r="404">
          <cell r="A404" t="str">
            <v>MCBE0046</v>
          </cell>
          <cell r="B404" t="str">
            <v>Evacuation des eaux pluviales</v>
          </cell>
          <cell r="C404" t="str">
            <v>Trop plein galva</v>
          </cell>
          <cell r="D404" t="str">
            <v>Trop plein galva ép 15/10, périmètre de sortie 901 à 1000mm</v>
          </cell>
        </row>
        <row r="405">
          <cell r="A405" t="str">
            <v>MCBE0046</v>
          </cell>
          <cell r="B405" t="str">
            <v>Evacuation des eaux pluviales</v>
          </cell>
          <cell r="C405" t="str">
            <v>Trop plein galva</v>
          </cell>
          <cell r="D405" t="str">
            <v>Trop plein galva ép 15/10, périmètre de sortie 901 à 1000mm</v>
          </cell>
        </row>
        <row r="406">
          <cell r="A406" t="str">
            <v>MCBE0046</v>
          </cell>
          <cell r="B406" t="str">
            <v>Evacuation des eaux pluviales</v>
          </cell>
          <cell r="C406" t="str">
            <v>Trop plein galva</v>
          </cell>
          <cell r="D406" t="str">
            <v>Trop plein galva ép 15/10, périmètre de sortie 901 à 1000mm</v>
          </cell>
        </row>
        <row r="407">
          <cell r="A407" t="str">
            <v>MCBE0046</v>
          </cell>
          <cell r="B407" t="str">
            <v>Evacuation des eaux pluviales</v>
          </cell>
          <cell r="C407" t="str">
            <v>Trop plein galva</v>
          </cell>
          <cell r="D407" t="str">
            <v>Trop plein galva ép 15/10, périmètre de sortie 901 à 1000mm</v>
          </cell>
        </row>
        <row r="408">
          <cell r="A408" t="str">
            <v>MCBE0046</v>
          </cell>
          <cell r="B408" t="str">
            <v>Evacuation des eaux pluviales</v>
          </cell>
          <cell r="C408" t="str">
            <v>Trop plein galva</v>
          </cell>
          <cell r="D408" t="str">
            <v>Trop plein galva ép 15/10, périmètre de sortie 901 à 1000mm</v>
          </cell>
        </row>
        <row r="409">
          <cell r="A409" t="str">
            <v>MCBE0047</v>
          </cell>
          <cell r="B409" t="str">
            <v>Evacuation des eaux pluviales</v>
          </cell>
          <cell r="C409" t="str">
            <v>Trop plein galva</v>
          </cell>
          <cell r="D409" t="str">
            <v>Trop plein galva ép 15/10, périmètre de sortie de 701 à 800mm</v>
          </cell>
        </row>
        <row r="410">
          <cell r="A410" t="str">
            <v>MCBE0047</v>
          </cell>
          <cell r="B410" t="str">
            <v>Evacuation des eaux pluviales</v>
          </cell>
          <cell r="C410" t="str">
            <v>Trop plein galva</v>
          </cell>
          <cell r="D410" t="str">
            <v>Trop plein galva ép 15/10, périmètre de sortie de 701 à 800mm</v>
          </cell>
        </row>
        <row r="411">
          <cell r="A411" t="str">
            <v>MCBE0047</v>
          </cell>
          <cell r="B411" t="str">
            <v>Evacuation des eaux pluviales</v>
          </cell>
          <cell r="C411" t="str">
            <v>Trop plein galva</v>
          </cell>
          <cell r="D411" t="str">
            <v>Trop plein galva ép 15/10, périmètre de sortie de 701 à 800mm</v>
          </cell>
        </row>
        <row r="412">
          <cell r="A412" t="str">
            <v>MCBE0047</v>
          </cell>
          <cell r="B412" t="str">
            <v>Evacuation des eaux pluviales</v>
          </cell>
          <cell r="C412" t="str">
            <v>Trop plein galva</v>
          </cell>
          <cell r="D412" t="str">
            <v>Trop plein galva ép 15/10, périmètre de sortie de 701 à 800mm</v>
          </cell>
        </row>
        <row r="413">
          <cell r="A413" t="str">
            <v>MCBE0047</v>
          </cell>
          <cell r="B413" t="str">
            <v>Evacuation des eaux pluviales</v>
          </cell>
          <cell r="C413" t="str">
            <v>Trop plein galva</v>
          </cell>
          <cell r="D413" t="str">
            <v>Trop plein galva ép 15/10, périmètre de sortie de 701 à 800mm</v>
          </cell>
        </row>
        <row r="414">
          <cell r="A414" t="str">
            <v>MCBE0048</v>
          </cell>
          <cell r="B414" t="str">
            <v>Evacuation des eaux pluviales</v>
          </cell>
          <cell r="C414" t="str">
            <v>Trop plein colamine galva</v>
          </cell>
          <cell r="D414" t="str">
            <v>Trop plein colaminé galva ép 12/10, périmètre de sortie de 501 à 600mm</v>
          </cell>
        </row>
        <row r="415">
          <cell r="A415" t="str">
            <v>MCBE0048</v>
          </cell>
          <cell r="B415" t="str">
            <v>Evacuation des eaux pluviales</v>
          </cell>
          <cell r="C415" t="str">
            <v>Trop plein colamine galva</v>
          </cell>
          <cell r="D415" t="str">
            <v>Trop plein colaminé galva ép 12/10, périmètre de sortie de 501 à 600mm</v>
          </cell>
        </row>
        <row r="416">
          <cell r="A416" t="str">
            <v>MCBE0048</v>
          </cell>
          <cell r="B416" t="str">
            <v>Evacuation des eaux pluviales</v>
          </cell>
          <cell r="C416" t="str">
            <v>Trop plein colamine galva</v>
          </cell>
          <cell r="D416" t="str">
            <v>Trop plein colaminé galva ép 12/10, périmètre de sortie de 501 à 600mm</v>
          </cell>
        </row>
        <row r="417">
          <cell r="A417" t="str">
            <v>MCBE0048</v>
          </cell>
          <cell r="B417" t="str">
            <v>Evacuation des eaux pluviales</v>
          </cell>
          <cell r="C417" t="str">
            <v>Trop plein colamine galva</v>
          </cell>
          <cell r="D417" t="str">
            <v>Trop plein colaminé galva ép 12/10, périmètre de sortie de 501 à 600mm</v>
          </cell>
        </row>
        <row r="418">
          <cell r="A418" t="str">
            <v>MCBE0048</v>
          </cell>
          <cell r="B418" t="str">
            <v>Evacuation des eaux pluviales</v>
          </cell>
          <cell r="C418" t="str">
            <v>Trop plein colamine galva</v>
          </cell>
          <cell r="D418" t="str">
            <v>Trop plein colaminé galva ép 12/10, périmètre de sortie de 501 à 600mm</v>
          </cell>
        </row>
        <row r="419">
          <cell r="A419" t="str">
            <v>MCBE0049</v>
          </cell>
          <cell r="B419" t="str">
            <v>Evacuation des eaux pluviales</v>
          </cell>
          <cell r="C419" t="str">
            <v>Trop plein colamine galva</v>
          </cell>
          <cell r="D419" t="str">
            <v>Trop plein colaminé galva ép 12/10, périmètre de sortie de 601 à 800mm</v>
          </cell>
        </row>
        <row r="420">
          <cell r="A420" t="str">
            <v>MCBE0049</v>
          </cell>
          <cell r="B420" t="str">
            <v>Evacuation des eaux pluviales</v>
          </cell>
          <cell r="C420" t="str">
            <v>Trop plein colamine galva</v>
          </cell>
          <cell r="D420" t="str">
            <v>Trop plein colaminé galva ép 12/10, périmètre de sortie de 601 à 800mm</v>
          </cell>
        </row>
        <row r="421">
          <cell r="A421" t="str">
            <v>MCBE0049</v>
          </cell>
          <cell r="B421" t="str">
            <v>Evacuation des eaux pluviales</v>
          </cell>
          <cell r="C421" t="str">
            <v>Trop plein colamine galva</v>
          </cell>
          <cell r="D421" t="str">
            <v>Trop plein colaminé galva ép 12/10, périmètre de sortie de 601 à 800mm</v>
          </cell>
        </row>
        <row r="422">
          <cell r="A422" t="str">
            <v>MCBE0049</v>
          </cell>
          <cell r="B422" t="str">
            <v>Evacuation des eaux pluviales</v>
          </cell>
          <cell r="C422" t="str">
            <v>Trop plein colamine galva</v>
          </cell>
          <cell r="D422" t="str">
            <v>Trop plein colaminé galva ép 12/10, périmètre de sortie de 601 à 800mm</v>
          </cell>
        </row>
        <row r="423">
          <cell r="A423" t="str">
            <v>MCBE0049</v>
          </cell>
          <cell r="B423" t="str">
            <v>Evacuation des eaux pluviales</v>
          </cell>
          <cell r="C423" t="str">
            <v>Trop plein colamine galva</v>
          </cell>
          <cell r="D423" t="str">
            <v>Trop plein colaminé galva ép 12/10, périmètre de sortie de 601 à 800mm</v>
          </cell>
        </row>
        <row r="424">
          <cell r="A424" t="str">
            <v>MCBE0050</v>
          </cell>
          <cell r="B424" t="str">
            <v>Evacuation des eaux pluviales</v>
          </cell>
          <cell r="C424" t="str">
            <v>Trop plein cuivre - plomb</v>
          </cell>
          <cell r="D424" t="str">
            <v xml:space="preserve">Trop plein cuivre/plomb Diamètre 30 hauteur 400 </v>
          </cell>
        </row>
        <row r="425">
          <cell r="A425" t="str">
            <v>MCBE0050</v>
          </cell>
          <cell r="B425" t="str">
            <v>Evacuation des eaux pluviales</v>
          </cell>
          <cell r="C425" t="str">
            <v>Trop plein cuivre - plomb</v>
          </cell>
          <cell r="D425" t="str">
            <v xml:space="preserve">Trop plein cuivre/plomb Diamètre 30 hauteur 400 </v>
          </cell>
        </row>
        <row r="426">
          <cell r="A426" t="str">
            <v>MCBE0050</v>
          </cell>
          <cell r="B426" t="str">
            <v>Evacuation des eaux pluviales</v>
          </cell>
          <cell r="C426" t="str">
            <v>Trop plein cuivre - plomb</v>
          </cell>
          <cell r="D426" t="str">
            <v xml:space="preserve">Trop plein cuivre/plomb Diamètre 30 hauteur 400 </v>
          </cell>
        </row>
        <row r="427">
          <cell r="A427" t="str">
            <v>MCBE0050</v>
          </cell>
          <cell r="B427" t="str">
            <v>Evacuation des eaux pluviales</v>
          </cell>
          <cell r="C427" t="str">
            <v>Trop plein cuivre - plomb</v>
          </cell>
          <cell r="D427" t="str">
            <v xml:space="preserve">Trop plein cuivre/plomb Diamètre 30 hauteur 400 </v>
          </cell>
        </row>
        <row r="428">
          <cell r="A428" t="str">
            <v>MCBE0050</v>
          </cell>
          <cell r="B428" t="str">
            <v>Evacuation des eaux pluviales</v>
          </cell>
          <cell r="C428" t="str">
            <v>Trop plein cuivre - plomb</v>
          </cell>
          <cell r="D428" t="str">
            <v xml:space="preserve">Trop plein cuivre/plomb Diamètre 30 hauteur 400 </v>
          </cell>
        </row>
        <row r="429">
          <cell r="A429" t="str">
            <v>MCBE0051</v>
          </cell>
          <cell r="B429" t="str">
            <v>Evacuation des eaux pluviales</v>
          </cell>
          <cell r="C429" t="str">
            <v>Trop plein cuivre - plomb</v>
          </cell>
          <cell r="D429" t="str">
            <v>Trop plein cuivre/plomb Diamètre 40 hauteur 400</v>
          </cell>
        </row>
        <row r="430">
          <cell r="A430" t="str">
            <v>MCBE0051</v>
          </cell>
          <cell r="B430" t="str">
            <v>Evacuation des eaux pluviales</v>
          </cell>
          <cell r="C430" t="str">
            <v>Trop plein cuivre - plomb</v>
          </cell>
          <cell r="D430" t="str">
            <v>Trop plein cuivre/plomb Diamètre 40 hauteur 400</v>
          </cell>
        </row>
        <row r="431">
          <cell r="A431" t="str">
            <v>MCBE0051</v>
          </cell>
          <cell r="B431" t="str">
            <v>Evacuation des eaux pluviales</v>
          </cell>
          <cell r="C431" t="str">
            <v>Trop plein cuivre - plomb</v>
          </cell>
          <cell r="D431" t="str">
            <v>Trop plein cuivre/plomb Diamètre 40 hauteur 400</v>
          </cell>
        </row>
        <row r="432">
          <cell r="A432" t="str">
            <v>MCBE0051</v>
          </cell>
          <cell r="B432" t="str">
            <v>Evacuation des eaux pluviales</v>
          </cell>
          <cell r="C432" t="str">
            <v>Trop plein cuivre - plomb</v>
          </cell>
          <cell r="D432" t="str">
            <v>Trop plein cuivre/plomb Diamètre 40 hauteur 400</v>
          </cell>
        </row>
        <row r="433">
          <cell r="A433" t="str">
            <v>MCBE0051</v>
          </cell>
          <cell r="B433" t="str">
            <v>Evacuation des eaux pluviales</v>
          </cell>
          <cell r="C433" t="str">
            <v>Trop plein cuivre - plomb</v>
          </cell>
          <cell r="D433" t="str">
            <v>Trop plein cuivre/plomb Diamètre 40 hauteur 400</v>
          </cell>
        </row>
        <row r="434">
          <cell r="A434" t="str">
            <v>MCBE0052</v>
          </cell>
          <cell r="B434" t="str">
            <v>Evacuation des eaux pluviales</v>
          </cell>
          <cell r="C434" t="str">
            <v>Trop plein cuivre - plomb</v>
          </cell>
          <cell r="D434" t="str">
            <v>Trop plein cuivre/plomb Diamètre 60 hauteur 400</v>
          </cell>
        </row>
        <row r="435">
          <cell r="A435" t="str">
            <v>MCBE0052</v>
          </cell>
          <cell r="B435" t="str">
            <v>Evacuation des eaux pluviales</v>
          </cell>
          <cell r="C435" t="str">
            <v>Trop plein cuivre - plomb</v>
          </cell>
          <cell r="D435" t="str">
            <v>Trop plein cuivre/plomb Diamètre 60 hauteur 400</v>
          </cell>
        </row>
        <row r="436">
          <cell r="A436" t="str">
            <v>MCBE0052</v>
          </cell>
          <cell r="B436" t="str">
            <v>Evacuation des eaux pluviales</v>
          </cell>
          <cell r="C436" t="str">
            <v>Trop plein cuivre - plomb</v>
          </cell>
          <cell r="D436" t="str">
            <v>Trop plein cuivre/plomb Diamètre 60 hauteur 400</v>
          </cell>
        </row>
        <row r="437">
          <cell r="A437" t="str">
            <v>MCBE0052</v>
          </cell>
          <cell r="B437" t="str">
            <v>Evacuation des eaux pluviales</v>
          </cell>
          <cell r="C437" t="str">
            <v>Trop plein cuivre - plomb</v>
          </cell>
          <cell r="D437" t="str">
            <v>Trop plein cuivre/plomb Diamètre 60 hauteur 400</v>
          </cell>
        </row>
        <row r="438">
          <cell r="A438" t="str">
            <v>MCBE0052</v>
          </cell>
          <cell r="B438" t="str">
            <v>Evacuation des eaux pluviales</v>
          </cell>
          <cell r="C438" t="str">
            <v>Trop plein cuivre - plomb</v>
          </cell>
          <cell r="D438" t="str">
            <v>Trop plein cuivre/plomb Diamètre 60 hauteur 400</v>
          </cell>
        </row>
        <row r="439">
          <cell r="A439" t="str">
            <v>MCBE0053</v>
          </cell>
          <cell r="B439" t="str">
            <v>Evacuation des eaux pluviales</v>
          </cell>
          <cell r="C439" t="str">
            <v>Pare gravier</v>
          </cell>
          <cell r="D439" t="str">
            <v>pare gravier galva 200x200</v>
          </cell>
        </row>
        <row r="440">
          <cell r="A440" t="str">
            <v>MCBE0053</v>
          </cell>
          <cell r="B440" t="str">
            <v>Evacuation des eaux pluviales</v>
          </cell>
          <cell r="C440" t="str">
            <v>Pare gravier</v>
          </cell>
          <cell r="D440" t="str">
            <v>pare gravier galva 200x200</v>
          </cell>
        </row>
        <row r="441">
          <cell r="A441" t="str">
            <v>MCBE0053</v>
          </cell>
          <cell r="B441" t="str">
            <v>Evacuation des eaux pluviales</v>
          </cell>
          <cell r="C441" t="str">
            <v>Pare gravier</v>
          </cell>
          <cell r="D441" t="str">
            <v>pare gravier galva 200x200</v>
          </cell>
        </row>
        <row r="442">
          <cell r="A442" t="str">
            <v>MCBE0053</v>
          </cell>
          <cell r="B442" t="str">
            <v>Evacuation des eaux pluviales</v>
          </cell>
          <cell r="C442" t="str">
            <v>Pare gravier</v>
          </cell>
          <cell r="D442" t="str">
            <v>pare gravier galva 200x200</v>
          </cell>
        </row>
        <row r="443">
          <cell r="A443" t="str">
            <v>MCBE0053</v>
          </cell>
          <cell r="B443" t="str">
            <v>Evacuation des eaux pluviales</v>
          </cell>
          <cell r="C443" t="str">
            <v>Pare gravier</v>
          </cell>
          <cell r="D443" t="str">
            <v>pare gravier galva 200x200</v>
          </cell>
        </row>
        <row r="444">
          <cell r="A444" t="str">
            <v>MCBE0054</v>
          </cell>
          <cell r="B444" t="str">
            <v>Evacuation des eaux pluviales</v>
          </cell>
          <cell r="C444" t="str">
            <v>Pare gravier</v>
          </cell>
          <cell r="D444" t="str">
            <v>pare gravier galva 300x300</v>
          </cell>
        </row>
        <row r="445">
          <cell r="A445" t="str">
            <v>MCBE0054</v>
          </cell>
          <cell r="B445" t="str">
            <v>Evacuation des eaux pluviales</v>
          </cell>
          <cell r="C445" t="str">
            <v>Pare gravier</v>
          </cell>
          <cell r="D445" t="str">
            <v>pare gravier galva 300x300</v>
          </cell>
        </row>
        <row r="446">
          <cell r="A446" t="str">
            <v>MCBE0054</v>
          </cell>
          <cell r="B446" t="str">
            <v>Evacuation des eaux pluviales</v>
          </cell>
          <cell r="C446" t="str">
            <v>Pare gravier</v>
          </cell>
          <cell r="D446" t="str">
            <v>pare gravier galva 300x300</v>
          </cell>
        </row>
        <row r="447">
          <cell r="A447" t="str">
            <v>MCBE0054</v>
          </cell>
          <cell r="B447" t="str">
            <v>Evacuation des eaux pluviales</v>
          </cell>
          <cell r="C447" t="str">
            <v>Pare gravier</v>
          </cell>
          <cell r="D447" t="str">
            <v>pare gravier galva 300x300</v>
          </cell>
        </row>
        <row r="448">
          <cell r="A448" t="str">
            <v>MCBE0054</v>
          </cell>
          <cell r="B448" t="str">
            <v>Evacuation des eaux pluviales</v>
          </cell>
          <cell r="C448" t="str">
            <v>Pare gravier</v>
          </cell>
          <cell r="D448" t="str">
            <v>pare gravier galva 300x300</v>
          </cell>
        </row>
        <row r="449">
          <cell r="A449" t="str">
            <v>MCBE0055</v>
          </cell>
          <cell r="B449" t="str">
            <v>Evacuation des eaux pluviales</v>
          </cell>
          <cell r="C449" t="str">
            <v>Pare gravier</v>
          </cell>
          <cell r="D449" t="str">
            <v>pare gravier galva 400x400</v>
          </cell>
        </row>
        <row r="450">
          <cell r="A450" t="str">
            <v>MCBE0055</v>
          </cell>
          <cell r="B450" t="str">
            <v>Evacuation des eaux pluviales</v>
          </cell>
          <cell r="C450" t="str">
            <v>Pare gravier</v>
          </cell>
          <cell r="D450" t="str">
            <v>pare gravier galva 400x400</v>
          </cell>
        </row>
        <row r="451">
          <cell r="A451" t="str">
            <v>MCBE0055</v>
          </cell>
          <cell r="B451" t="str">
            <v>Evacuation des eaux pluviales</v>
          </cell>
          <cell r="C451" t="str">
            <v>Pare gravier</v>
          </cell>
          <cell r="D451" t="str">
            <v>pare gravier galva 400x400</v>
          </cell>
        </row>
        <row r="452">
          <cell r="A452" t="str">
            <v>MCBE0055</v>
          </cell>
          <cell r="B452" t="str">
            <v>Evacuation des eaux pluviales</v>
          </cell>
          <cell r="C452" t="str">
            <v>Pare gravier</v>
          </cell>
          <cell r="D452" t="str">
            <v>pare gravier galva 400x400</v>
          </cell>
        </row>
        <row r="453">
          <cell r="A453" t="str">
            <v>MCBE0056</v>
          </cell>
          <cell r="B453" t="str">
            <v>Evacuation des eaux pluviales</v>
          </cell>
          <cell r="C453" t="str">
            <v>Pare gravier</v>
          </cell>
          <cell r="D453" t="str">
            <v>pare gravier galva 250x250</v>
          </cell>
        </row>
        <row r="454">
          <cell r="A454" t="str">
            <v>MCBE0056</v>
          </cell>
          <cell r="B454" t="str">
            <v>Evacuation des eaux pluviales</v>
          </cell>
          <cell r="C454" t="str">
            <v>Pare gravier</v>
          </cell>
          <cell r="D454" t="str">
            <v>pare gravier galva 250x250</v>
          </cell>
        </row>
        <row r="455">
          <cell r="A455" t="str">
            <v>MCBE0056</v>
          </cell>
          <cell r="B455" t="str">
            <v>Evacuation des eaux pluviales</v>
          </cell>
          <cell r="C455" t="str">
            <v>Pare gravier</v>
          </cell>
          <cell r="D455" t="str">
            <v>pare gravier galva 250x250</v>
          </cell>
        </row>
        <row r="456">
          <cell r="A456" t="str">
            <v>MCBE0056</v>
          </cell>
          <cell r="B456" t="str">
            <v>Evacuation des eaux pluviales</v>
          </cell>
          <cell r="C456" t="str">
            <v>Pare gravier</v>
          </cell>
          <cell r="D456" t="str">
            <v>pare gravier galva 250x250</v>
          </cell>
        </row>
        <row r="457">
          <cell r="A457" t="str">
            <v>MCBE0057</v>
          </cell>
          <cell r="B457" t="str">
            <v>Evacuation des eaux pluviales</v>
          </cell>
          <cell r="C457" t="str">
            <v>Bande garde grève</v>
          </cell>
          <cell r="D457" t="str">
            <v xml:space="preserve">Bande Garde-Grève Galva Dev 175 HT 100 7/10 en 2 ml </v>
          </cell>
        </row>
        <row r="458">
          <cell r="A458" t="str">
            <v>MCBE0057</v>
          </cell>
          <cell r="B458" t="str">
            <v>Evacuation des eaux pluviales</v>
          </cell>
          <cell r="C458" t="str">
            <v>Bande garde grève</v>
          </cell>
          <cell r="D458" t="str">
            <v xml:space="preserve">Bande Garde-Grève Galva Dev 175 HT 100 7/10 en 2 ml </v>
          </cell>
        </row>
        <row r="459">
          <cell r="A459" t="str">
            <v>MCBE0057</v>
          </cell>
          <cell r="B459" t="str">
            <v>Evacuation des eaux pluviales</v>
          </cell>
          <cell r="C459" t="str">
            <v>Bande garde grève</v>
          </cell>
          <cell r="D459" t="str">
            <v xml:space="preserve">Bande Garde-Grève Galva Dev 175 HT 100 7/10 en 2 ml </v>
          </cell>
        </row>
        <row r="460">
          <cell r="A460" t="str">
            <v>MCBE0057</v>
          </cell>
          <cell r="B460" t="str">
            <v>Evacuation des eaux pluviales</v>
          </cell>
          <cell r="C460" t="str">
            <v>Bande garde grève</v>
          </cell>
          <cell r="D460" t="str">
            <v xml:space="preserve">Bande Garde-Grève Galva Dev 175 HT 100 7/10 en 2 ml </v>
          </cell>
        </row>
        <row r="461">
          <cell r="A461" t="str">
            <v>MCBE0058</v>
          </cell>
          <cell r="B461" t="str">
            <v>Evacuation des eaux pluviales</v>
          </cell>
          <cell r="C461" t="str">
            <v>Bande garde grève</v>
          </cell>
          <cell r="D461" t="str">
            <v xml:space="preserve">Bande Garde-Grève Galva Dev 235 HT 120 7/10 en 2 ml </v>
          </cell>
        </row>
        <row r="462">
          <cell r="A462" t="str">
            <v>MCBE0058</v>
          </cell>
          <cell r="B462" t="str">
            <v>Evacuation des eaux pluviales</v>
          </cell>
          <cell r="C462" t="str">
            <v>Bande garde grève</v>
          </cell>
          <cell r="D462" t="str">
            <v xml:space="preserve">Bande Garde-Grève Galva Dev 235 HT 120 7/10 en 2 ml </v>
          </cell>
        </row>
        <row r="463">
          <cell r="A463" t="str">
            <v>MCBE0058</v>
          </cell>
          <cell r="B463" t="str">
            <v>Evacuation des eaux pluviales</v>
          </cell>
          <cell r="C463" t="str">
            <v>Bande garde grève</v>
          </cell>
          <cell r="D463" t="str">
            <v xml:space="preserve">Bande Garde-Grève Galva Dev 235 HT 120 7/10 en 2 ml </v>
          </cell>
        </row>
        <row r="464">
          <cell r="A464" t="str">
            <v>MCBE0058</v>
          </cell>
          <cell r="B464" t="str">
            <v>Evacuation des eaux pluviales</v>
          </cell>
          <cell r="C464" t="str">
            <v>Bande garde grève</v>
          </cell>
          <cell r="D464" t="str">
            <v xml:space="preserve">Bande Garde-Grève Galva Dev 235 HT 120 7/10 en 2 ml </v>
          </cell>
        </row>
        <row r="465">
          <cell r="A465" t="str">
            <v>MCBE0059</v>
          </cell>
          <cell r="B465" t="str">
            <v>Evacuation des eaux pluviales</v>
          </cell>
          <cell r="C465" t="str">
            <v>Bande garde grève</v>
          </cell>
          <cell r="D465" t="str">
            <v xml:space="preserve">Bande Garde-Grève Galva Dev 250 HT 140 7/10 en 2 ml </v>
          </cell>
        </row>
        <row r="466">
          <cell r="A466" t="str">
            <v>MCBE0059</v>
          </cell>
          <cell r="B466" t="str">
            <v>Evacuation des eaux pluviales</v>
          </cell>
          <cell r="C466" t="str">
            <v>Bande garde grève</v>
          </cell>
          <cell r="D466" t="str">
            <v xml:space="preserve">Bande Garde-Grève Galva Dev 250 HT 140 7/10 en 2 ml </v>
          </cell>
        </row>
        <row r="467">
          <cell r="A467" t="str">
            <v>MCBE0059</v>
          </cell>
          <cell r="B467" t="str">
            <v>Evacuation des eaux pluviales</v>
          </cell>
          <cell r="C467" t="str">
            <v>Bande garde grève</v>
          </cell>
          <cell r="D467" t="str">
            <v xml:space="preserve">Bande Garde-Grève Galva Dev 250 HT 140 7/10 en 2 ml </v>
          </cell>
        </row>
        <row r="468">
          <cell r="A468" t="str">
            <v>MCBE0059</v>
          </cell>
          <cell r="B468" t="str">
            <v>Evacuation des eaux pluviales</v>
          </cell>
          <cell r="C468" t="str">
            <v>Bande garde grève</v>
          </cell>
          <cell r="D468" t="str">
            <v xml:space="preserve">Bande Garde-Grève Galva Dev 250 HT 140 7/10 en 2 ml </v>
          </cell>
        </row>
        <row r="469">
          <cell r="A469" t="str">
            <v>MCBE0059</v>
          </cell>
          <cell r="B469" t="str">
            <v>Evacuation des eaux pluviales</v>
          </cell>
          <cell r="C469" t="str">
            <v>Bande garde grève</v>
          </cell>
          <cell r="D469" t="str">
            <v xml:space="preserve">Bande Garde-Grève Galva Dev 250 HT 140 7/10 en 2 ml </v>
          </cell>
        </row>
        <row r="470">
          <cell r="A470" t="str">
            <v>MCBE0060</v>
          </cell>
          <cell r="B470" t="str">
            <v>Evacuation des eaux pluviales</v>
          </cell>
          <cell r="C470" t="str">
            <v>Tuyaux zinc</v>
          </cell>
          <cell r="D470" t="str">
            <v>Tuyau cylindrique zinc diamètre 100 ep 0.65 - 2ml</v>
          </cell>
        </row>
        <row r="471">
          <cell r="A471" t="str">
            <v>MCBE0060</v>
          </cell>
          <cell r="B471" t="str">
            <v>Evacuation des eaux pluviales</v>
          </cell>
          <cell r="C471" t="str">
            <v>Tuyaux zinc</v>
          </cell>
          <cell r="D471" t="str">
            <v>Tuyau cylindrique zinc diamètre 100 ep 0.65 - 2ml</v>
          </cell>
        </row>
        <row r="472">
          <cell r="A472" t="str">
            <v>MCBE0060</v>
          </cell>
          <cell r="B472" t="str">
            <v>Evacuation des eaux pluviales</v>
          </cell>
          <cell r="C472" t="str">
            <v>Tuyaux zinc</v>
          </cell>
          <cell r="D472" t="str">
            <v>Tuyau cylindrique zinc diamètre 100 ep 0.65 - 2ml</v>
          </cell>
        </row>
        <row r="473">
          <cell r="A473" t="str">
            <v>MCBE0060</v>
          </cell>
          <cell r="B473" t="str">
            <v>Evacuation des eaux pluviales</v>
          </cell>
          <cell r="C473" t="str">
            <v>Tuyaux zinc</v>
          </cell>
          <cell r="D473" t="str">
            <v>Tuyau cylindrique zinc diamètre 100 ep 0.65 - 2ml</v>
          </cell>
        </row>
        <row r="474">
          <cell r="A474" t="str">
            <v>MCBE0060</v>
          </cell>
          <cell r="B474" t="str">
            <v>Evacuation des eaux pluviales</v>
          </cell>
          <cell r="C474" t="str">
            <v>Tuyaux zinc</v>
          </cell>
          <cell r="D474" t="str">
            <v>Tuyau cylindrique zinc diamètre 100 ep 0.65 - 2ml</v>
          </cell>
        </row>
        <row r="475">
          <cell r="A475" t="str">
            <v>MCBE0060</v>
          </cell>
          <cell r="B475" t="str">
            <v>Evacuation des eaux pluviales</v>
          </cell>
          <cell r="C475" t="str">
            <v>Tuyaux zinc</v>
          </cell>
          <cell r="D475" t="str">
            <v>Tuyau cylindrique zinc diamètre 100 ep 0.65 - 2ml</v>
          </cell>
        </row>
        <row r="476">
          <cell r="A476" t="str">
            <v>MCBE0061</v>
          </cell>
          <cell r="B476" t="str">
            <v>Evacuation des eaux pluviales</v>
          </cell>
          <cell r="C476" t="str">
            <v>Tuyaux zinc</v>
          </cell>
          <cell r="D476" t="str">
            <v>Tuyau cylindrique zinc diamètre 120 ep 0.7 - 2ml</v>
          </cell>
        </row>
        <row r="477">
          <cell r="A477" t="str">
            <v>MCBE0061</v>
          </cell>
          <cell r="B477" t="str">
            <v>Evacuation des eaux pluviales</v>
          </cell>
          <cell r="C477" t="str">
            <v>Tuyaux zinc</v>
          </cell>
          <cell r="D477" t="str">
            <v>Tuyau cylindrique zinc diamètre 120 ep 0.7 - 2ml</v>
          </cell>
        </row>
        <row r="478">
          <cell r="A478" t="str">
            <v>MCBE0061</v>
          </cell>
          <cell r="B478" t="str">
            <v>Evacuation des eaux pluviales</v>
          </cell>
          <cell r="C478" t="str">
            <v>Tuyaux zinc</v>
          </cell>
          <cell r="D478" t="str">
            <v>Tuyau cylindrique zinc diamètre 120 ep 0.7 - 2ml</v>
          </cell>
        </row>
        <row r="479">
          <cell r="A479" t="str">
            <v>MCBE0061</v>
          </cell>
          <cell r="B479" t="str">
            <v>Evacuation des eaux pluviales</v>
          </cell>
          <cell r="C479" t="str">
            <v>Tuyaux zinc</v>
          </cell>
          <cell r="D479" t="str">
            <v>Tuyau cylindrique zinc diamètre 120 ep 0.7 - 2ml</v>
          </cell>
        </row>
        <row r="480">
          <cell r="A480" t="str">
            <v>MCBE0061</v>
          </cell>
          <cell r="B480" t="str">
            <v>Evacuation des eaux pluviales</v>
          </cell>
          <cell r="C480" t="str">
            <v>Tuyaux zinc</v>
          </cell>
          <cell r="D480" t="str">
            <v>Tuyau cylindrique zinc diamètre 120 ep 0.7 - 2ml</v>
          </cell>
        </row>
        <row r="481">
          <cell r="A481" t="str">
            <v>MCBE0061</v>
          </cell>
          <cell r="B481" t="str">
            <v>Evacuation des eaux pluviales</v>
          </cell>
          <cell r="C481" t="str">
            <v>Tuyaux zinc</v>
          </cell>
          <cell r="D481" t="str">
            <v>Tuyau cylindrique zinc diamètre 120 ep 0.7 - 2ml</v>
          </cell>
        </row>
        <row r="482">
          <cell r="A482" t="str">
            <v>MCBE0062</v>
          </cell>
          <cell r="B482" t="str">
            <v>Evacuation des eaux pluviales</v>
          </cell>
          <cell r="C482" t="str">
            <v>Tuyaux zinc</v>
          </cell>
          <cell r="D482" t="str">
            <v>Tuyau cylindrique zinc diamètre 80 ep 0.65 - 2ml</v>
          </cell>
        </row>
        <row r="483">
          <cell r="A483" t="str">
            <v>MCBE0062</v>
          </cell>
          <cell r="B483" t="str">
            <v>Evacuation des eaux pluviales</v>
          </cell>
          <cell r="C483" t="str">
            <v>Tuyaux zinc</v>
          </cell>
          <cell r="D483" t="str">
            <v>Tuyau cylindrique zinc diamètre 800 ep 0.65 - 2ml</v>
          </cell>
        </row>
        <row r="484">
          <cell r="A484" t="str">
            <v>MCBE0062</v>
          </cell>
          <cell r="B484" t="str">
            <v>Evacuation des eaux pluviales</v>
          </cell>
          <cell r="C484" t="str">
            <v>Tuyaux zinc</v>
          </cell>
          <cell r="D484" t="str">
            <v>Tuyau cylindrique zinc diamètre 80 ep 0.65 - 2ml</v>
          </cell>
        </row>
        <row r="485">
          <cell r="A485" t="str">
            <v>MCBE0062</v>
          </cell>
          <cell r="B485" t="str">
            <v>Evacuation des eaux pluviales</v>
          </cell>
          <cell r="C485" t="str">
            <v>Tuyaux zinc</v>
          </cell>
          <cell r="D485" t="str">
            <v>Tuyau cylindrique zinc diamètre 800 ep 0.65 - 2ml</v>
          </cell>
        </row>
        <row r="486">
          <cell r="A486" t="str">
            <v>MCBE0062</v>
          </cell>
          <cell r="B486" t="str">
            <v>Evacuation des eaux pluviales</v>
          </cell>
          <cell r="C486" t="str">
            <v>Tuyaux zinc</v>
          </cell>
          <cell r="D486" t="str">
            <v>Tuyau cylindrique zinc diamètre 800 ep 0.65 - 2ml</v>
          </cell>
        </row>
        <row r="487">
          <cell r="A487" t="str">
            <v>MCBE0062</v>
          </cell>
          <cell r="B487" t="str">
            <v>Evacuation des eaux pluviales</v>
          </cell>
          <cell r="C487" t="str">
            <v>Tuyaux zinc</v>
          </cell>
          <cell r="D487" t="str">
            <v>Tuyau cylindrique zinc diamètre 800 ep 0.65 - 2ml</v>
          </cell>
        </row>
        <row r="488">
          <cell r="A488" t="str">
            <v>MCBE0063</v>
          </cell>
          <cell r="B488" t="str">
            <v>Evacuation des eaux pluviales</v>
          </cell>
          <cell r="C488" t="str">
            <v>Tuyaux zinc</v>
          </cell>
          <cell r="D488" t="str">
            <v>Tuyau Tronconique soudé zinc nat D120mm ep. 0,7 - 2ml</v>
          </cell>
        </row>
        <row r="489">
          <cell r="A489" t="str">
            <v>MCBE0063</v>
          </cell>
          <cell r="B489" t="str">
            <v>Evacuation des eaux pluviales</v>
          </cell>
          <cell r="C489" t="str">
            <v>Tuyaux zinc</v>
          </cell>
          <cell r="D489" t="str">
            <v>Tuyau Tronconique soudé zinc nat D120mm ep. 0,7 - 2ml</v>
          </cell>
        </row>
        <row r="490">
          <cell r="A490" t="str">
            <v>MCBE0063</v>
          </cell>
          <cell r="B490" t="str">
            <v>Evacuation des eaux pluviales</v>
          </cell>
          <cell r="C490" t="str">
            <v>Tuyaux zinc</v>
          </cell>
          <cell r="D490" t="str">
            <v>Tuyau Tronconique soudé zinc nat D120mm ep. 0,7 - 2ml</v>
          </cell>
        </row>
        <row r="491">
          <cell r="A491" t="str">
            <v>MCBE0063</v>
          </cell>
          <cell r="B491" t="str">
            <v>Evacuation des eaux pluviales</v>
          </cell>
          <cell r="C491" t="str">
            <v>Tuyaux zinc</v>
          </cell>
          <cell r="D491" t="str">
            <v>Tuyau Tronconique soudé zinc nat D120mm ep. 0,7 - 2ml</v>
          </cell>
        </row>
        <row r="492">
          <cell r="A492" t="str">
            <v>MCBE0063</v>
          </cell>
          <cell r="B492" t="str">
            <v>Evacuation des eaux pluviales</v>
          </cell>
          <cell r="C492" t="str">
            <v>Tuyaux zinc</v>
          </cell>
          <cell r="D492" t="str">
            <v>Tuyau Tronconique soudé zinc nat D120mm ep. 0,7 - 2ml</v>
          </cell>
        </row>
        <row r="493">
          <cell r="A493" t="str">
            <v>MCBE0063</v>
          </cell>
          <cell r="B493" t="str">
            <v>Evacuation des eaux pluviales</v>
          </cell>
          <cell r="C493" t="str">
            <v>Tuyaux zinc</v>
          </cell>
          <cell r="D493" t="str">
            <v>Tuyau Tronconique soudé zinc nat D120mm ep. 0,7 - 2ml</v>
          </cell>
        </row>
        <row r="494">
          <cell r="A494" t="str">
            <v>MCBE0064</v>
          </cell>
          <cell r="B494" t="str">
            <v>Evacuation des eaux pluviales</v>
          </cell>
          <cell r="C494" t="str">
            <v>Tuyaux zinc</v>
          </cell>
          <cell r="D494" t="str">
            <v>Tuyau Tronconique soudé zinc nat D100mm ep. 0,65 - 2ml</v>
          </cell>
        </row>
        <row r="495">
          <cell r="A495" t="str">
            <v>MCBE0064</v>
          </cell>
          <cell r="B495" t="str">
            <v>Evacuation des eaux pluviales</v>
          </cell>
          <cell r="C495" t="str">
            <v>Tuyaux zinc</v>
          </cell>
          <cell r="D495" t="str">
            <v>Tuyau Tronconique soudé zinc nat D100mm ep. 0,65 - 2ml</v>
          </cell>
        </row>
        <row r="496">
          <cell r="A496" t="str">
            <v>MCBE0064</v>
          </cell>
          <cell r="B496" t="str">
            <v>Evacuation des eaux pluviales</v>
          </cell>
          <cell r="C496" t="str">
            <v>Tuyaux zinc</v>
          </cell>
          <cell r="D496" t="str">
            <v>Tuyau Tronconique soudé zinc nat D100mm ep. 0,65 - 2ml</v>
          </cell>
        </row>
        <row r="497">
          <cell r="A497" t="str">
            <v>MCBE0064</v>
          </cell>
          <cell r="B497" t="str">
            <v>Evacuation des eaux pluviales</v>
          </cell>
          <cell r="C497" t="str">
            <v>Tuyaux zinc</v>
          </cell>
          <cell r="D497" t="str">
            <v>Tuyau Tronconique soudé zinc nat D100mm ep. 0,65 - 2ml</v>
          </cell>
        </row>
        <row r="498">
          <cell r="A498" t="str">
            <v>MCBE0064</v>
          </cell>
          <cell r="B498" t="str">
            <v>Evacuation des eaux pluviales</v>
          </cell>
          <cell r="C498" t="str">
            <v>Tuyaux zinc</v>
          </cell>
          <cell r="D498" t="str">
            <v>Tuyau Tronconique soudé zinc nat D100mm ep. 0,65 - 2ml</v>
          </cell>
        </row>
        <row r="499">
          <cell r="A499" t="str">
            <v>MCBE0064</v>
          </cell>
          <cell r="B499" t="str">
            <v>Evacuation des eaux pluviales</v>
          </cell>
          <cell r="C499" t="str">
            <v>Tuyaux zinc</v>
          </cell>
          <cell r="D499" t="str">
            <v>Tuyau Tronconique soudé zinc nat D100mm ep. 0,65 - 2ml</v>
          </cell>
        </row>
        <row r="500">
          <cell r="A500" t="str">
            <v>MCBE0065</v>
          </cell>
          <cell r="B500" t="str">
            <v>Evacuation des eaux pluviales</v>
          </cell>
          <cell r="C500" t="str">
            <v>Tuyaux zinc</v>
          </cell>
          <cell r="D500" t="str">
            <v>Tuyau Tronconique soudé zinc nat D140mm  ep. 0,8 - 2ml</v>
          </cell>
        </row>
        <row r="501">
          <cell r="A501" t="str">
            <v>MCBE0065</v>
          </cell>
          <cell r="B501" t="str">
            <v>Evacuation des eaux pluviales</v>
          </cell>
          <cell r="C501" t="str">
            <v>Tuyaux zinc</v>
          </cell>
          <cell r="D501" t="str">
            <v>Tuyau Tronconique soudé zinc nat D140mm  ep. 0,8 - 2ml</v>
          </cell>
        </row>
        <row r="502">
          <cell r="A502" t="str">
            <v>MCBE0065</v>
          </cell>
          <cell r="B502" t="str">
            <v>Evacuation des eaux pluviales</v>
          </cell>
          <cell r="C502" t="str">
            <v>Tuyaux zinc</v>
          </cell>
          <cell r="D502" t="str">
            <v>Tuyau Tronconique soudé zinc nat D140mm  ep. 0,8 - 2ml</v>
          </cell>
        </row>
        <row r="503">
          <cell r="A503" t="str">
            <v>MCBE0065</v>
          </cell>
          <cell r="B503" t="str">
            <v>Evacuation des eaux pluviales</v>
          </cell>
          <cell r="C503" t="str">
            <v>Tuyaux zinc</v>
          </cell>
          <cell r="D503" t="str">
            <v>Tuyau Tronconique soudé zinc nat D140mm  ep. 0,8 - 2ml</v>
          </cell>
        </row>
        <row r="504">
          <cell r="A504" t="str">
            <v>MCBE0065</v>
          </cell>
          <cell r="B504" t="str">
            <v>Evacuation des eaux pluviales</v>
          </cell>
          <cell r="C504" t="str">
            <v>Tuyaux zinc</v>
          </cell>
          <cell r="D504" t="str">
            <v>Tuyau Tronconique soudé zinc nat D140mm  ep. 0,8 - 2ml</v>
          </cell>
        </row>
        <row r="505">
          <cell r="A505" t="str">
            <v>MCBE0065</v>
          </cell>
          <cell r="B505" t="str">
            <v>Evacuation des eaux pluviales</v>
          </cell>
          <cell r="C505" t="str">
            <v>Tuyaux zinc</v>
          </cell>
          <cell r="D505" t="str">
            <v>Tuyau Tronconique soudé zinc nat D140mm  ep. 0,8 - 2ml</v>
          </cell>
        </row>
        <row r="506">
          <cell r="A506" t="str">
            <v>MCBE0066</v>
          </cell>
          <cell r="B506" t="str">
            <v>Evacuation des eaux pluviales</v>
          </cell>
          <cell r="C506" t="str">
            <v>Tuyaux zinc</v>
          </cell>
          <cell r="D506" t="str">
            <v>Tuyau Tronconique soudé zinc nat D160mm ep. 0,80 - 2ml</v>
          </cell>
        </row>
        <row r="507">
          <cell r="A507" t="str">
            <v>MCBE0066</v>
          </cell>
          <cell r="B507" t="str">
            <v>Evacuation des eaux pluviales</v>
          </cell>
          <cell r="C507" t="str">
            <v>Tuyaux zinc</v>
          </cell>
          <cell r="D507" t="str">
            <v>Tuyau Tronconique soudé zinc nat D160mm ep. 0,80 - 2ml</v>
          </cell>
        </row>
        <row r="508">
          <cell r="A508" t="str">
            <v>MCBE0066</v>
          </cell>
          <cell r="B508" t="str">
            <v>Evacuation des eaux pluviales</v>
          </cell>
          <cell r="C508" t="str">
            <v>Tuyaux zinc</v>
          </cell>
          <cell r="D508" t="str">
            <v>Tuyau Tronconique soudé zinc nat D160mm ep. 0,80 - 2ml</v>
          </cell>
        </row>
        <row r="509">
          <cell r="A509" t="str">
            <v>MCBE0066</v>
          </cell>
          <cell r="B509" t="str">
            <v>Evacuation des eaux pluviales</v>
          </cell>
          <cell r="C509" t="str">
            <v>Tuyaux zinc</v>
          </cell>
          <cell r="D509" t="str">
            <v>Tuyau Tronconique soudé zinc nat D160mm ep. 0,80 - 2ml</v>
          </cell>
        </row>
        <row r="510">
          <cell r="A510" t="str">
            <v>MCBE0066</v>
          </cell>
          <cell r="B510" t="str">
            <v>Evacuation des eaux pluviales</v>
          </cell>
          <cell r="C510" t="str">
            <v>Tuyaux zinc</v>
          </cell>
          <cell r="D510" t="str">
            <v>Tuyau Tronconique soudé zinc nat D160mm ep. 0,80 - 2ml</v>
          </cell>
        </row>
        <row r="511">
          <cell r="A511" t="str">
            <v>MCBE0066</v>
          </cell>
          <cell r="B511" t="str">
            <v>Evacuation des eaux pluviales</v>
          </cell>
          <cell r="C511" t="str">
            <v>Tuyaux zinc</v>
          </cell>
          <cell r="D511" t="str">
            <v>Tuyau Tronconique soudé zinc nat D160mm ep. 0,80 - 2ml</v>
          </cell>
        </row>
        <row r="512">
          <cell r="A512" t="str">
            <v>MCBE0067</v>
          </cell>
          <cell r="B512" t="str">
            <v>Evacuation des eaux pluviales</v>
          </cell>
          <cell r="C512" t="str">
            <v>Tuyaux zinc</v>
          </cell>
          <cell r="D512" t="str">
            <v>Tuyau Tronconique soudé zinc nat D60mm ep. 0,65 - 2 ml</v>
          </cell>
        </row>
        <row r="513">
          <cell r="A513" t="str">
            <v>MCBE0067</v>
          </cell>
          <cell r="B513" t="str">
            <v>Evacuation des eaux pluviales</v>
          </cell>
          <cell r="C513" t="str">
            <v>Tuyaux zinc</v>
          </cell>
          <cell r="D513" t="str">
            <v>Tuyau Tronconique soudé zinc nat D60mm ep. 0,65 - 2 ml</v>
          </cell>
        </row>
        <row r="514">
          <cell r="A514" t="str">
            <v>MCBE0067</v>
          </cell>
          <cell r="B514" t="str">
            <v>Evacuation des eaux pluviales</v>
          </cell>
          <cell r="C514" t="str">
            <v>Tuyaux zinc</v>
          </cell>
          <cell r="D514" t="str">
            <v>Tuyau Tronconique soudé zinc nat D60mm ep. 0,65 - 2 ml</v>
          </cell>
        </row>
        <row r="515">
          <cell r="A515" t="str">
            <v>MCBE0067</v>
          </cell>
          <cell r="B515" t="str">
            <v>Evacuation des eaux pluviales</v>
          </cell>
          <cell r="C515" t="str">
            <v>Tuyaux zinc</v>
          </cell>
          <cell r="D515" t="str">
            <v>Tuyau Tronconique soudé zinc nat D60mm ep. 0,65 - 2 ml</v>
          </cell>
        </row>
        <row r="516">
          <cell r="A516" t="str">
            <v>MCBE0067</v>
          </cell>
          <cell r="B516" t="str">
            <v>Evacuation des eaux pluviales</v>
          </cell>
          <cell r="C516" t="str">
            <v>Tuyaux zinc</v>
          </cell>
          <cell r="D516" t="str">
            <v>Tuyau Tronconique soudé zinc nat D60mm ep. 0,65 - 2 ml</v>
          </cell>
        </row>
        <row r="517">
          <cell r="A517" t="str">
            <v>MCBE0067</v>
          </cell>
          <cell r="B517" t="str">
            <v>Evacuation des eaux pluviales</v>
          </cell>
          <cell r="C517" t="str">
            <v>Tuyaux zinc</v>
          </cell>
          <cell r="D517" t="str">
            <v>Tuyau Tronconique soudé zinc nat D60mm ep. 0,65 - 2 ml</v>
          </cell>
        </row>
        <row r="518">
          <cell r="A518" t="str">
            <v>MCBE0068</v>
          </cell>
          <cell r="B518" t="str">
            <v>Evacuation des eaux pluviales</v>
          </cell>
          <cell r="C518" t="str">
            <v>Tuyaux zinc</v>
          </cell>
          <cell r="D518" t="str">
            <v>Tuyau Tronconique soudé zinc nat D80mm ep. 0,65 - 2ml</v>
          </cell>
        </row>
        <row r="519">
          <cell r="A519" t="str">
            <v>MCBE0068</v>
          </cell>
          <cell r="B519" t="str">
            <v>Evacuation des eaux pluviales</v>
          </cell>
          <cell r="C519" t="str">
            <v>Tuyaux zinc</v>
          </cell>
          <cell r="D519" t="str">
            <v>Tuyau Tronconique soudé zinc nat D80mm ep. 0,65 - 2ml</v>
          </cell>
        </row>
        <row r="520">
          <cell r="A520" t="str">
            <v>MCBE0068</v>
          </cell>
          <cell r="B520" t="str">
            <v>Evacuation des eaux pluviales</v>
          </cell>
          <cell r="C520" t="str">
            <v>Tuyaux zinc</v>
          </cell>
          <cell r="D520" t="str">
            <v>Tuyau Tronconique soudé zinc nat D80mm ep. 0,65 - 2ml</v>
          </cell>
        </row>
        <row r="521">
          <cell r="A521" t="str">
            <v>MCBE0068</v>
          </cell>
          <cell r="B521" t="str">
            <v>Evacuation des eaux pluviales</v>
          </cell>
          <cell r="C521" t="str">
            <v>Tuyaux zinc</v>
          </cell>
          <cell r="D521" t="str">
            <v>Tuyau Tronconique soudé zinc nat D80mm ep. 0,65 - 2ml</v>
          </cell>
        </row>
        <row r="522">
          <cell r="A522" t="str">
            <v>MCBE0068</v>
          </cell>
          <cell r="B522" t="str">
            <v>Evacuation des eaux pluviales</v>
          </cell>
          <cell r="C522" t="str">
            <v>Tuyaux zinc</v>
          </cell>
          <cell r="D522" t="str">
            <v>Tuyau Tronconique soudé zinc nat D80mm ep. 0,65 - 2ml</v>
          </cell>
        </row>
        <row r="523">
          <cell r="A523" t="str">
            <v>MCBE0068</v>
          </cell>
          <cell r="B523" t="str">
            <v>Evacuation des eaux pluviales</v>
          </cell>
          <cell r="C523" t="str">
            <v>Tuyaux zinc</v>
          </cell>
          <cell r="D523" t="str">
            <v>Tuyau Tronconique soudé zinc nat D80mm ep. 0,65 - 2ml</v>
          </cell>
        </row>
        <row r="524">
          <cell r="A524" t="str">
            <v>MCBE0069</v>
          </cell>
          <cell r="B524" t="str">
            <v>Evacuation des eaux pluviales</v>
          </cell>
          <cell r="C524" t="str">
            <v>Tuyaux PVC</v>
          </cell>
          <cell r="D524" t="str">
            <v xml:space="preserve">Descente EP 100 X 1.8 mm X 2.80 ml sable   </v>
          </cell>
        </row>
        <row r="525">
          <cell r="A525" t="str">
            <v>MCBE0069</v>
          </cell>
          <cell r="B525" t="str">
            <v>Evacuation des eaux pluviales</v>
          </cell>
          <cell r="C525" t="str">
            <v>Tuyaux PVC</v>
          </cell>
          <cell r="D525" t="str">
            <v xml:space="preserve">Descente EP 100 X 1.8 mm X 2.80 ml sable   </v>
          </cell>
        </row>
        <row r="526">
          <cell r="A526" t="str">
            <v>MCBE0069</v>
          </cell>
          <cell r="B526" t="str">
            <v>Evacuation des eaux pluviales</v>
          </cell>
          <cell r="C526" t="str">
            <v>Tuyaux PVC</v>
          </cell>
          <cell r="D526" t="str">
            <v xml:space="preserve">Descente EP 100 X 1.8 mm X 2.80 ml sable   </v>
          </cell>
        </row>
        <row r="527">
          <cell r="A527" t="str">
            <v>MCBE0069</v>
          </cell>
          <cell r="B527" t="str">
            <v>Evacuation des eaux pluviales</v>
          </cell>
          <cell r="C527" t="str">
            <v>Tuyaux PVC</v>
          </cell>
          <cell r="D527" t="str">
            <v xml:space="preserve">Descente EP 100 X 1.8 mm X 2.80 ml sable   </v>
          </cell>
        </row>
        <row r="528">
          <cell r="A528" t="str">
            <v>MCBE0069</v>
          </cell>
          <cell r="B528" t="str">
            <v>Evacuation des eaux pluviales</v>
          </cell>
          <cell r="C528" t="str">
            <v>Tuyaux PVC</v>
          </cell>
          <cell r="D528" t="str">
            <v xml:space="preserve">Descente EP 100 X 1.8 mm X 2.80 ml sable   </v>
          </cell>
        </row>
        <row r="529">
          <cell r="A529" t="str">
            <v>MCBE0069</v>
          </cell>
          <cell r="B529" t="str">
            <v>Evacuation des eaux pluviales</v>
          </cell>
          <cell r="C529" t="str">
            <v>Tuyaux PVC</v>
          </cell>
          <cell r="D529" t="str">
            <v xml:space="preserve">Descente EP 100 X 1.8 mm X 2.80 ml sable   </v>
          </cell>
        </row>
        <row r="530">
          <cell r="A530" t="str">
            <v>MCBE0070</v>
          </cell>
          <cell r="B530" t="str">
            <v>Evacuation des eaux pluviales</v>
          </cell>
          <cell r="C530" t="str">
            <v>Tuyaux PVC</v>
          </cell>
          <cell r="D530" t="str">
            <v>Descente EP100 X 1.8 mm 4 ml PVC anthracite</v>
          </cell>
        </row>
        <row r="531">
          <cell r="A531" t="str">
            <v>MCBE0070</v>
          </cell>
          <cell r="B531" t="str">
            <v>Evacuation des eaux pluviales</v>
          </cell>
          <cell r="C531" t="str">
            <v>Tuyaux PVC</v>
          </cell>
          <cell r="D531" t="str">
            <v>Descente EP100 X 1.8 mm 4 ml PVC anthracite</v>
          </cell>
        </row>
        <row r="532">
          <cell r="A532" t="str">
            <v>MCBE0070</v>
          </cell>
          <cell r="B532" t="str">
            <v>Evacuation des eaux pluviales</v>
          </cell>
          <cell r="C532" t="str">
            <v>Tuyaux PVC</v>
          </cell>
          <cell r="D532" t="str">
            <v>Descente EP100 X 1.8 mm 4 ml PVC anthracite</v>
          </cell>
        </row>
        <row r="533">
          <cell r="A533" t="str">
            <v>MCBE0070</v>
          </cell>
          <cell r="B533" t="str">
            <v>Evacuation des eaux pluviales</v>
          </cell>
          <cell r="C533" t="str">
            <v>Tuyaux PVC</v>
          </cell>
          <cell r="D533" t="str">
            <v>Descente EP100 X 1.8 mm 4 ml PVC anthracite</v>
          </cell>
        </row>
        <row r="534">
          <cell r="A534" t="str">
            <v>MCBE0070</v>
          </cell>
          <cell r="B534" t="str">
            <v>Evacuation des eaux pluviales</v>
          </cell>
          <cell r="C534" t="str">
            <v>Tuyaux PVC</v>
          </cell>
          <cell r="D534" t="str">
            <v>Descente EP100 X 1.8 mm 4 ml PVC anthracite</v>
          </cell>
        </row>
        <row r="535">
          <cell r="A535" t="str">
            <v>MCBE0070</v>
          </cell>
          <cell r="B535" t="str">
            <v>Evacuation des eaux pluviales</v>
          </cell>
          <cell r="C535" t="str">
            <v>Tuyaux PVC</v>
          </cell>
          <cell r="D535" t="str">
            <v>Descente EP100 X 1.8 mm 4 ml PVC anthracite</v>
          </cell>
        </row>
        <row r="536">
          <cell r="A536" t="str">
            <v>MCBE0071</v>
          </cell>
          <cell r="B536" t="str">
            <v>Evacuation des eaux pluviales</v>
          </cell>
          <cell r="C536" t="str">
            <v>Tuyaux PVC</v>
          </cell>
          <cell r="D536" t="str">
            <v xml:space="preserve">Descente EP100 X 1.8 mm 4 ml PVC Blanc </v>
          </cell>
        </row>
        <row r="537">
          <cell r="A537" t="str">
            <v>MCBE0071</v>
          </cell>
          <cell r="B537" t="str">
            <v>Evacuation des eaux pluviales</v>
          </cell>
          <cell r="C537" t="str">
            <v>Tuyaux PVC</v>
          </cell>
          <cell r="D537" t="str">
            <v xml:space="preserve">Descente EP100 X 1.8 mm 4 ml PVC Blanc </v>
          </cell>
        </row>
        <row r="538">
          <cell r="A538" t="str">
            <v>MCBE0071</v>
          </cell>
          <cell r="B538" t="str">
            <v>Evacuation des eaux pluviales</v>
          </cell>
          <cell r="C538" t="str">
            <v>Tuyaux PVC</v>
          </cell>
          <cell r="D538" t="str">
            <v xml:space="preserve">Descente EP100 X 1.8 mm 4 ml PVC Blanc </v>
          </cell>
        </row>
        <row r="539">
          <cell r="A539" t="str">
            <v>MCBE0071</v>
          </cell>
          <cell r="B539" t="str">
            <v>Evacuation des eaux pluviales</v>
          </cell>
          <cell r="C539" t="str">
            <v>Tuyaux PVC</v>
          </cell>
          <cell r="D539" t="str">
            <v xml:space="preserve">Descente EP100 X 1.8 mm 4 ml PVC Blanc </v>
          </cell>
        </row>
        <row r="540">
          <cell r="A540" t="str">
            <v>MCBE0071</v>
          </cell>
          <cell r="B540" t="str">
            <v>Evacuation des eaux pluviales</v>
          </cell>
          <cell r="C540" t="str">
            <v>Tuyaux PVC</v>
          </cell>
          <cell r="D540" t="str">
            <v xml:space="preserve">Descente EP100 X 1.8 mm 4 ml PVC Blanc </v>
          </cell>
        </row>
        <row r="541">
          <cell r="A541" t="str">
            <v>MCBE0071</v>
          </cell>
          <cell r="B541" t="str">
            <v>Evacuation des eaux pluviales</v>
          </cell>
          <cell r="C541" t="str">
            <v>Tuyaux PVC</v>
          </cell>
          <cell r="D541" t="str">
            <v xml:space="preserve">Descente EP100 X 1.8 mm 4 ml PVC Blanc </v>
          </cell>
        </row>
        <row r="542">
          <cell r="A542" t="str">
            <v>MCBE0072</v>
          </cell>
          <cell r="B542" t="str">
            <v>Evacuation des eaux pluviales</v>
          </cell>
          <cell r="C542" t="str">
            <v>Tuyaux PVC</v>
          </cell>
          <cell r="D542" t="str">
            <v xml:space="preserve">Descente EP 100 X 1.8 mm 4 ml PVC gris </v>
          </cell>
        </row>
        <row r="543">
          <cell r="A543" t="str">
            <v>MCBE0072</v>
          </cell>
          <cell r="B543" t="str">
            <v>Evacuation des eaux pluviales</v>
          </cell>
          <cell r="C543" t="str">
            <v>Tuyaux PVC</v>
          </cell>
          <cell r="D543" t="str">
            <v xml:space="preserve">Descente EP 100 X 1.8 mm 4 ml PVC gris </v>
          </cell>
        </row>
        <row r="544">
          <cell r="A544" t="str">
            <v>MCBE0072</v>
          </cell>
          <cell r="B544" t="str">
            <v>Evacuation des eaux pluviales</v>
          </cell>
          <cell r="C544" t="str">
            <v>Tuyaux PVC</v>
          </cell>
          <cell r="D544" t="str">
            <v xml:space="preserve">Descente EP 100 X 1.8 mm 4 ml PVC gris </v>
          </cell>
        </row>
        <row r="545">
          <cell r="A545" t="str">
            <v>MCBE0072</v>
          </cell>
          <cell r="B545" t="str">
            <v>Evacuation des eaux pluviales</v>
          </cell>
          <cell r="C545" t="str">
            <v>Tuyaux PVC</v>
          </cell>
          <cell r="D545" t="str">
            <v xml:space="preserve">Descente EP 100 X 1.8 mm 4 ml PVC gris </v>
          </cell>
        </row>
        <row r="546">
          <cell r="A546" t="str">
            <v>MCBE0072</v>
          </cell>
          <cell r="B546" t="str">
            <v>Evacuation des eaux pluviales</v>
          </cell>
          <cell r="C546" t="str">
            <v>Tuyaux PVC</v>
          </cell>
          <cell r="D546" t="str">
            <v xml:space="preserve">Descente EP 100 X 1.8 mm 4 ml PVC gris </v>
          </cell>
        </row>
        <row r="547">
          <cell r="A547" t="str">
            <v>MCBE0072</v>
          </cell>
          <cell r="B547" t="str">
            <v>Evacuation des eaux pluviales</v>
          </cell>
          <cell r="C547" t="str">
            <v>Tuyaux PVC</v>
          </cell>
          <cell r="D547" t="str">
            <v xml:space="preserve">Descente EP 100 X 1.8 mm 4 ml PVC gris </v>
          </cell>
        </row>
        <row r="548">
          <cell r="A548" t="str">
            <v>MCBE0073</v>
          </cell>
          <cell r="B548" t="str">
            <v>Evacuation des eaux pluviales</v>
          </cell>
          <cell r="C548" t="str">
            <v>Tuyaux PVC</v>
          </cell>
          <cell r="D548" t="str">
            <v xml:space="preserve">Descente EP 100 X 1.8 mm PVC noir </v>
          </cell>
        </row>
        <row r="549">
          <cell r="A549" t="str">
            <v>MCBE0073</v>
          </cell>
          <cell r="B549" t="str">
            <v>Evacuation des eaux pluviales</v>
          </cell>
          <cell r="C549" t="str">
            <v>Tuyaux PVC</v>
          </cell>
          <cell r="D549" t="str">
            <v xml:space="preserve">Descente EP 100 X 1.8 mm PVC noir </v>
          </cell>
        </row>
        <row r="550">
          <cell r="A550" t="str">
            <v>MCBE0073</v>
          </cell>
          <cell r="B550" t="str">
            <v>Evacuation des eaux pluviales</v>
          </cell>
          <cell r="C550" t="str">
            <v>Tuyaux PVC</v>
          </cell>
          <cell r="D550" t="str">
            <v xml:space="preserve">Descente EP 100 X 1.8 mm PVC noir </v>
          </cell>
        </row>
        <row r="551">
          <cell r="A551" t="str">
            <v>MCBE0073</v>
          </cell>
          <cell r="B551" t="str">
            <v>Evacuation des eaux pluviales</v>
          </cell>
          <cell r="C551" t="str">
            <v>Tuyaux PVC</v>
          </cell>
          <cell r="D551" t="str">
            <v xml:space="preserve">Descente EP 100 X 1.8 mm PVC noir </v>
          </cell>
        </row>
        <row r="552">
          <cell r="A552" t="str">
            <v>MCBE0073</v>
          </cell>
          <cell r="B552" t="str">
            <v>Evacuation des eaux pluviales</v>
          </cell>
          <cell r="C552" t="str">
            <v>Tuyaux PVC</v>
          </cell>
          <cell r="D552" t="str">
            <v xml:space="preserve">Descente EP 100 X 1.8 mm PVC noir </v>
          </cell>
        </row>
        <row r="553">
          <cell r="A553" t="str">
            <v>MCBE0073</v>
          </cell>
          <cell r="B553" t="str">
            <v>Evacuation des eaux pluviales</v>
          </cell>
          <cell r="C553" t="str">
            <v>Tuyaux PVC</v>
          </cell>
          <cell r="D553" t="str">
            <v xml:space="preserve">Descente EP 100 X 1.8 mm PVC noir </v>
          </cell>
        </row>
        <row r="554">
          <cell r="A554" t="str">
            <v>MCBE0074</v>
          </cell>
          <cell r="B554" t="str">
            <v>Evacuation des eaux pluviales</v>
          </cell>
          <cell r="C554" t="str">
            <v>Tuyaux PVC</v>
          </cell>
          <cell r="D554" t="str">
            <v>Descente EP100 X 1.8 mm 4ml PVC sable</v>
          </cell>
        </row>
        <row r="555">
          <cell r="A555" t="str">
            <v>MCBE0074</v>
          </cell>
          <cell r="B555" t="str">
            <v>Evacuation des eaux pluviales</v>
          </cell>
          <cell r="C555" t="str">
            <v>Tuyaux PVC</v>
          </cell>
          <cell r="D555" t="str">
            <v>Descente EP100 X 1.8 mm 4ml PVC sable</v>
          </cell>
        </row>
        <row r="556">
          <cell r="A556" t="str">
            <v>MCBE0074</v>
          </cell>
          <cell r="B556" t="str">
            <v>Evacuation des eaux pluviales</v>
          </cell>
          <cell r="C556" t="str">
            <v>Tuyaux PVC</v>
          </cell>
          <cell r="D556" t="str">
            <v>Descente EP100 X 1.8 mm 4ml PVC sable</v>
          </cell>
        </row>
        <row r="557">
          <cell r="A557" t="str">
            <v>MCBE0074</v>
          </cell>
          <cell r="B557" t="str">
            <v>Evacuation des eaux pluviales</v>
          </cell>
          <cell r="C557" t="str">
            <v>Tuyaux PVC</v>
          </cell>
          <cell r="D557" t="str">
            <v>Descente EP100 X 1.8 mm 4ml PVC sable</v>
          </cell>
        </row>
        <row r="558">
          <cell r="A558" t="str">
            <v>MCBE0074</v>
          </cell>
          <cell r="B558" t="str">
            <v>Evacuation des eaux pluviales</v>
          </cell>
          <cell r="C558" t="str">
            <v>Tuyaux PVC</v>
          </cell>
          <cell r="D558" t="str">
            <v>Descente EP100 X 1.8 mm 4ml PVC sable</v>
          </cell>
        </row>
        <row r="559">
          <cell r="A559" t="str">
            <v>MCBE0074</v>
          </cell>
          <cell r="B559" t="str">
            <v>Evacuation des eaux pluviales</v>
          </cell>
          <cell r="C559" t="str">
            <v>Tuyaux PVC</v>
          </cell>
          <cell r="D559" t="str">
            <v>Descente EP100 X 1.8 mm 4ml PVC sable</v>
          </cell>
        </row>
        <row r="560">
          <cell r="A560" t="str">
            <v>MCBE0075</v>
          </cell>
          <cell r="B560" t="str">
            <v>Evacuation des eaux pluviales</v>
          </cell>
          <cell r="C560" t="str">
            <v>Tuyaux PVC</v>
          </cell>
          <cell r="D560" t="str">
            <v>Descente EP 80 X 1.5 mm 2.80 ml PVC sable</v>
          </cell>
        </row>
        <row r="561">
          <cell r="A561" t="str">
            <v>MCBE0075</v>
          </cell>
          <cell r="B561" t="str">
            <v>Evacuation des eaux pluviales</v>
          </cell>
          <cell r="C561" t="str">
            <v>Tuyaux PVC</v>
          </cell>
          <cell r="D561" t="str">
            <v>Descente EP 80 X 1.5 mm 2.80 ml PVC sable</v>
          </cell>
        </row>
        <row r="562">
          <cell r="A562" t="str">
            <v>MCBE0075</v>
          </cell>
          <cell r="B562" t="str">
            <v>Evacuation des eaux pluviales</v>
          </cell>
          <cell r="C562" t="str">
            <v>Tuyaux PVC</v>
          </cell>
          <cell r="D562" t="str">
            <v>Descente EP 80 X 1.5 mm 4ml PVC sable</v>
          </cell>
        </row>
        <row r="563">
          <cell r="A563" t="str">
            <v>MCBE0075</v>
          </cell>
          <cell r="B563" t="str">
            <v>Evacuation des eaux pluviales</v>
          </cell>
          <cell r="C563" t="str">
            <v>Tuyaux PVC</v>
          </cell>
          <cell r="D563" t="str">
            <v>Descente EP 80 X 1.5 mm 2.80 ml PVC sable</v>
          </cell>
        </row>
        <row r="564">
          <cell r="A564" t="str">
            <v>MCBE0075</v>
          </cell>
          <cell r="B564" t="str">
            <v>Evacuation des eaux pluviales</v>
          </cell>
          <cell r="C564" t="str">
            <v>Tuyaux PVC</v>
          </cell>
          <cell r="D564" t="str">
            <v>Descente EP 80 X 1.5 mm 2.80 ml PVC sable</v>
          </cell>
        </row>
        <row r="565">
          <cell r="A565" t="str">
            <v>MCBE0075</v>
          </cell>
          <cell r="B565" t="str">
            <v>Evacuation des eaux pluviales</v>
          </cell>
          <cell r="C565" t="str">
            <v>Tuyaux PVC</v>
          </cell>
          <cell r="D565" t="str">
            <v>Descente EP 80 X 1.5 mm 2.80 ml PVC sable</v>
          </cell>
        </row>
        <row r="566">
          <cell r="A566" t="str">
            <v>MCBE0076</v>
          </cell>
          <cell r="B566" t="str">
            <v>Evacuation des eaux pluviales</v>
          </cell>
          <cell r="C566" t="str">
            <v>Tuyaux PVC</v>
          </cell>
          <cell r="D566" t="str">
            <v>Descente EP 80 X 1.5 mm 4ml PVC blanc</v>
          </cell>
        </row>
        <row r="567">
          <cell r="A567" t="str">
            <v>MCBE0076</v>
          </cell>
          <cell r="B567" t="str">
            <v>Evacuation des eaux pluviales</v>
          </cell>
          <cell r="C567" t="str">
            <v>Tuyaux PVC</v>
          </cell>
          <cell r="D567" t="str">
            <v>Descente EP 80 X 1.5 mm 4ml PVC blanc</v>
          </cell>
        </row>
        <row r="568">
          <cell r="A568" t="str">
            <v>MCBE0076</v>
          </cell>
          <cell r="B568" t="str">
            <v>Evacuation des eaux pluviales</v>
          </cell>
          <cell r="C568" t="str">
            <v>Tuyaux PVC</v>
          </cell>
          <cell r="D568" t="str">
            <v>Descente EP 80 X 1.5 mm 4ml PVC blanc</v>
          </cell>
        </row>
        <row r="569">
          <cell r="A569" t="str">
            <v>MCBE0076</v>
          </cell>
          <cell r="B569" t="str">
            <v>Evacuation des eaux pluviales</v>
          </cell>
          <cell r="C569" t="str">
            <v>Tuyaux PVC</v>
          </cell>
          <cell r="D569" t="str">
            <v>Descente EP 80 X 1.5 mm 4ml PVC blanc</v>
          </cell>
        </row>
        <row r="570">
          <cell r="A570" t="str">
            <v>MCBE0076</v>
          </cell>
          <cell r="B570" t="str">
            <v>Evacuation des eaux pluviales</v>
          </cell>
          <cell r="C570" t="str">
            <v>Tuyaux PVC</v>
          </cell>
          <cell r="D570" t="str">
            <v>Descente EP 80 X 1.5 mm 4ml PVC blanc</v>
          </cell>
        </row>
        <row r="571">
          <cell r="A571" t="str">
            <v>MCBE0076</v>
          </cell>
          <cell r="B571" t="str">
            <v>Evacuation des eaux pluviales</v>
          </cell>
          <cell r="C571" t="str">
            <v>Tuyaux PVC</v>
          </cell>
          <cell r="D571" t="str">
            <v>Descente EP 80 X 1.5 mm 4ml PVC blanc</v>
          </cell>
        </row>
        <row r="572">
          <cell r="A572" t="str">
            <v>MCBE0077</v>
          </cell>
          <cell r="B572" t="str">
            <v>Evacuation des eaux pluviales</v>
          </cell>
          <cell r="C572" t="str">
            <v>Tuyaux PVC</v>
          </cell>
          <cell r="D572" t="str">
            <v>Descente EP 80 X 1.5 mm 4ml PVC gris</v>
          </cell>
        </row>
        <row r="573">
          <cell r="A573" t="str">
            <v>MCBE0077</v>
          </cell>
          <cell r="B573" t="str">
            <v>Evacuation des eaux pluviales</v>
          </cell>
          <cell r="C573" t="str">
            <v>Tuyaux PVC</v>
          </cell>
          <cell r="D573" t="str">
            <v>Descente EP 80 X 1.5 mm 4ml PVC gris</v>
          </cell>
        </row>
        <row r="574">
          <cell r="A574" t="str">
            <v>MCBE0077</v>
          </cell>
          <cell r="B574" t="str">
            <v>Evacuation des eaux pluviales</v>
          </cell>
          <cell r="C574" t="str">
            <v>Tuyaux PVC</v>
          </cell>
          <cell r="D574" t="str">
            <v>Descente EP 80 X 1.5 mm 4ml PVC gris</v>
          </cell>
        </row>
        <row r="575">
          <cell r="A575" t="str">
            <v>MCBE0077</v>
          </cell>
          <cell r="B575" t="str">
            <v>Evacuation des eaux pluviales</v>
          </cell>
          <cell r="C575" t="str">
            <v>Tuyaux PVC</v>
          </cell>
          <cell r="D575" t="str">
            <v>Descente EP 80 X 1.5 mm 4ml PVC gris</v>
          </cell>
        </row>
        <row r="576">
          <cell r="A576" t="str">
            <v>MCBE0077</v>
          </cell>
          <cell r="B576" t="str">
            <v>Evacuation des eaux pluviales</v>
          </cell>
          <cell r="C576" t="str">
            <v>Tuyaux PVC</v>
          </cell>
          <cell r="D576" t="str">
            <v>Descente EP 80 X 1.5 mm 4ml PVC gris</v>
          </cell>
        </row>
        <row r="577">
          <cell r="A577" t="str">
            <v>MCBE0077</v>
          </cell>
          <cell r="B577" t="str">
            <v>Evacuation des eaux pluviales</v>
          </cell>
          <cell r="C577" t="str">
            <v>Tuyaux PVC</v>
          </cell>
          <cell r="D577" t="str">
            <v>Descente EP 80 X 1.5 mm 4ml PVC gris</v>
          </cell>
        </row>
        <row r="578">
          <cell r="A578" t="str">
            <v>MCBE0078</v>
          </cell>
          <cell r="B578" t="str">
            <v>Evacuation des eaux pluviales</v>
          </cell>
          <cell r="C578" t="str">
            <v>Tuyaux PVC</v>
          </cell>
          <cell r="D578" t="str">
            <v>Descente EP 80 X 1.5 mm 4ml PVC noir</v>
          </cell>
        </row>
        <row r="579">
          <cell r="A579" t="str">
            <v>MCBE0078</v>
          </cell>
          <cell r="B579" t="str">
            <v>Evacuation des eaux pluviales</v>
          </cell>
          <cell r="C579" t="str">
            <v>Tuyaux PVC</v>
          </cell>
          <cell r="D579" t="str">
            <v>Descente EP 80 X 1.5 mm 4ml PVC noir</v>
          </cell>
        </row>
        <row r="580">
          <cell r="A580" t="str">
            <v>MCBE0078</v>
          </cell>
          <cell r="B580" t="str">
            <v>Evacuation des eaux pluviales</v>
          </cell>
          <cell r="C580" t="str">
            <v>Tuyaux PVC</v>
          </cell>
          <cell r="D580" t="str">
            <v>Descente EP 80 X 1.5 mm 4ml PVC noir</v>
          </cell>
        </row>
        <row r="581">
          <cell r="A581" t="str">
            <v>MCBE0078</v>
          </cell>
          <cell r="B581" t="str">
            <v>Evacuation des eaux pluviales</v>
          </cell>
          <cell r="C581" t="str">
            <v>Tuyaux PVC</v>
          </cell>
          <cell r="D581" t="str">
            <v>Descente EP 80 X 1.5 mm 4ml PVC noir</v>
          </cell>
        </row>
        <row r="582">
          <cell r="A582" t="str">
            <v>MCBE0078</v>
          </cell>
          <cell r="B582" t="str">
            <v>Evacuation des eaux pluviales</v>
          </cell>
          <cell r="C582" t="str">
            <v>Tuyaux PVC</v>
          </cell>
          <cell r="D582" t="str">
            <v>Descente EP 80 X 1.5 mm 4ml PVC noir</v>
          </cell>
        </row>
        <row r="583">
          <cell r="A583" t="str">
            <v>MCBE0078</v>
          </cell>
          <cell r="B583" t="str">
            <v>Evacuation des eaux pluviales</v>
          </cell>
          <cell r="C583" t="str">
            <v>Tuyaux PVC</v>
          </cell>
          <cell r="D583" t="str">
            <v>Descente EP 80 X 1.5 mm 4ml PVC noir</v>
          </cell>
        </row>
        <row r="584">
          <cell r="A584" t="str">
            <v>MCBE0079</v>
          </cell>
          <cell r="B584" t="str">
            <v>Evacuation des eaux pluviales</v>
          </cell>
          <cell r="C584" t="str">
            <v>Tuyaux fonte</v>
          </cell>
          <cell r="D584" t="str">
            <v>Descente fonte pavillonnaire droite diam 100 lg 1 ml rouge</v>
          </cell>
        </row>
        <row r="585">
          <cell r="A585" t="str">
            <v>MCBE0079</v>
          </cell>
          <cell r="B585" t="str">
            <v>Evacuation des eaux pluviales</v>
          </cell>
          <cell r="C585" t="str">
            <v>Tuyaux fonte</v>
          </cell>
          <cell r="D585" t="str">
            <v>Descente fonte pavillonnaire droite diam 100 lg 1 ml rouge</v>
          </cell>
        </row>
        <row r="586">
          <cell r="A586" t="str">
            <v>MCBE0079</v>
          </cell>
          <cell r="B586" t="str">
            <v>Evacuation des eaux pluviales</v>
          </cell>
          <cell r="C586" t="str">
            <v>Tuyaux fonte</v>
          </cell>
          <cell r="D586" t="str">
            <v>Descente fonte pavillonnaire droite diam 100 lg 1 ml rouge</v>
          </cell>
        </row>
        <row r="587">
          <cell r="A587" t="str">
            <v>MCBE0079</v>
          </cell>
          <cell r="B587" t="str">
            <v>Evacuation des eaux pluviales</v>
          </cell>
          <cell r="C587" t="str">
            <v>Tuyaux fonte</v>
          </cell>
          <cell r="D587" t="str">
            <v>Descente fonte pavillonnaire droite diam 100 lg 1 ml rouge</v>
          </cell>
        </row>
        <row r="588">
          <cell r="A588" t="str">
            <v>MCBE0079</v>
          </cell>
          <cell r="B588" t="str">
            <v>Evacuation des eaux pluviales</v>
          </cell>
          <cell r="C588" t="str">
            <v>Tuyaux fonte</v>
          </cell>
          <cell r="D588" t="str">
            <v>Descente fonte pavillonnaire droite diam 100 lg 1 ml rouge</v>
          </cell>
        </row>
        <row r="589">
          <cell r="A589" t="str">
            <v>MCBE0079</v>
          </cell>
          <cell r="B589" t="str">
            <v>Evacuation des eaux pluviales</v>
          </cell>
          <cell r="C589" t="str">
            <v>Tuyaux fonte</v>
          </cell>
          <cell r="D589" t="str">
            <v>Descente fonte pavillonnaire droite diam 100 lg 1 ml rouge</v>
          </cell>
        </row>
        <row r="590">
          <cell r="A590" t="str">
            <v>MCBE0080</v>
          </cell>
          <cell r="B590" t="str">
            <v>Evacuation des eaux pluviales</v>
          </cell>
          <cell r="C590" t="str">
            <v>Tuyaux fonte</v>
          </cell>
          <cell r="D590" t="str">
            <v>Descente fonte pavillonnaire droite diam 80 lg 1 ml rouge</v>
          </cell>
        </row>
        <row r="591">
          <cell r="A591" t="str">
            <v>MCBE0080</v>
          </cell>
          <cell r="B591" t="str">
            <v>Evacuation des eaux pluviales</v>
          </cell>
          <cell r="C591" t="str">
            <v>Tuyaux fonte</v>
          </cell>
          <cell r="D591" t="str">
            <v>Descente fonte pavillonnaire droite diam 80 lg 1 ml rouge</v>
          </cell>
        </row>
        <row r="592">
          <cell r="A592" t="str">
            <v>MCBE0080</v>
          </cell>
          <cell r="B592" t="str">
            <v>Evacuation des eaux pluviales</v>
          </cell>
          <cell r="C592" t="str">
            <v>Tuyaux fonte</v>
          </cell>
          <cell r="D592" t="str">
            <v>Descente fonte pavillonnaire droite diam 80 lg 1 ml rouge</v>
          </cell>
        </row>
        <row r="593">
          <cell r="A593" t="str">
            <v>MCBE0080</v>
          </cell>
          <cell r="B593" t="str">
            <v>Evacuation des eaux pluviales</v>
          </cell>
          <cell r="C593" t="str">
            <v>Tuyaux fonte</v>
          </cell>
          <cell r="D593" t="str">
            <v>Descente fonte pavillonnaire droite diam 80 lg 1 ml rouge</v>
          </cell>
        </row>
        <row r="594">
          <cell r="A594" t="str">
            <v>MCBE0080</v>
          </cell>
          <cell r="B594" t="str">
            <v>Evacuation des eaux pluviales</v>
          </cell>
          <cell r="C594" t="str">
            <v>Tuyaux fonte</v>
          </cell>
          <cell r="D594" t="str">
            <v>Descente fonte pavillonnaire droite diam 80 lg 1 ml rouge</v>
          </cell>
        </row>
        <row r="595">
          <cell r="A595" t="str">
            <v>MCBE0080</v>
          </cell>
          <cell r="B595" t="str">
            <v>Evacuation des eaux pluviales</v>
          </cell>
          <cell r="C595" t="str">
            <v>Tuyaux fonte</v>
          </cell>
          <cell r="D595" t="str">
            <v>Descente fonte pavillonnaire droite diam 80 lg 1 ml rouge</v>
          </cell>
        </row>
        <row r="596">
          <cell r="A596" t="str">
            <v>MCBE0081</v>
          </cell>
          <cell r="B596" t="str">
            <v>Evacuation des eaux pluviales</v>
          </cell>
          <cell r="C596" t="str">
            <v>Tuyaux fonte</v>
          </cell>
          <cell r="D596" t="str">
            <v>Descente fonteronde DN 80 lg 1 ml rouge - Gamme résdencielle</v>
          </cell>
        </row>
        <row r="597">
          <cell r="A597" t="str">
            <v>MCBE0081</v>
          </cell>
          <cell r="B597" t="str">
            <v>Evacuation des eaux pluviales</v>
          </cell>
          <cell r="C597" t="str">
            <v>Tuyaux fonte</v>
          </cell>
          <cell r="D597" t="str">
            <v>Descente fonteronde DN 80 lg 1 ml rouge - Gamme résdencielle</v>
          </cell>
        </row>
        <row r="598">
          <cell r="A598" t="str">
            <v>MCBE0081</v>
          </cell>
          <cell r="B598" t="str">
            <v>Evacuation des eaux pluviales</v>
          </cell>
          <cell r="C598" t="str">
            <v>Tuyaux fonte</v>
          </cell>
          <cell r="D598" t="str">
            <v>Descente fonteronde DN 80 lg 1 ml rouge - Gamme résdencielle</v>
          </cell>
        </row>
        <row r="599">
          <cell r="A599" t="str">
            <v>MCBE0081</v>
          </cell>
          <cell r="B599" t="str">
            <v>Evacuation des eaux pluviales</v>
          </cell>
          <cell r="C599" t="str">
            <v>Tuyaux fonte</v>
          </cell>
          <cell r="D599" t="str">
            <v>Descente fonteronde DN 80 lg 1 ml rouge - Gamme résdencielle</v>
          </cell>
        </row>
        <row r="600">
          <cell r="A600" t="str">
            <v>MCBE0081</v>
          </cell>
          <cell r="B600" t="str">
            <v>Evacuation des eaux pluviales</v>
          </cell>
          <cell r="C600" t="str">
            <v>Tuyaux fonte</v>
          </cell>
          <cell r="D600" t="str">
            <v>Descente fonteronde DN 80 lg 1 ml rouge - Gamme résdencielle</v>
          </cell>
        </row>
        <row r="601">
          <cell r="A601" t="str">
            <v>MCBE0082</v>
          </cell>
          <cell r="B601" t="str">
            <v>Evacuation des eaux pluviales</v>
          </cell>
          <cell r="C601" t="str">
            <v>Tuyaux fonte</v>
          </cell>
          <cell r="D601" t="str">
            <v>Descente fonte ronde DN 80 lg 2 ml rouge - Gamme résdencielle</v>
          </cell>
        </row>
        <row r="602">
          <cell r="A602" t="str">
            <v>MCBE0082</v>
          </cell>
          <cell r="B602" t="str">
            <v>Evacuation des eaux pluviales</v>
          </cell>
          <cell r="C602" t="str">
            <v>Tuyaux fonte</v>
          </cell>
          <cell r="D602" t="str">
            <v>Descente fonte ronde DN 80 lg 2 ml rouge - Gamme résdencielle</v>
          </cell>
        </row>
        <row r="603">
          <cell r="A603" t="str">
            <v>MCBE0082</v>
          </cell>
          <cell r="B603" t="str">
            <v>Evacuation des eaux pluviales</v>
          </cell>
          <cell r="C603" t="str">
            <v>Tuyaux fonte</v>
          </cell>
          <cell r="D603" t="str">
            <v>Descente fonte ronde DN 80 lg 2 ml rouge - Gamme résdencielle</v>
          </cell>
        </row>
        <row r="604">
          <cell r="A604" t="str">
            <v>MCBE0082</v>
          </cell>
          <cell r="B604" t="str">
            <v>Evacuation des eaux pluviales</v>
          </cell>
          <cell r="C604" t="str">
            <v>Tuyaux fonte</v>
          </cell>
          <cell r="D604" t="str">
            <v>Descente fonte ronde DN 80 lg 2 ml rouge - Gamme résdencielle</v>
          </cell>
        </row>
        <row r="605">
          <cell r="A605" t="str">
            <v>MCBE0082</v>
          </cell>
          <cell r="B605" t="str">
            <v>Evacuation des eaux pluviales</v>
          </cell>
          <cell r="C605" t="str">
            <v>Tuyaux fonte</v>
          </cell>
          <cell r="D605" t="str">
            <v>Descente fonte ronde DN 80 lg 2 ml rouge - Gamme résdencielle</v>
          </cell>
        </row>
        <row r="606">
          <cell r="A606" t="str">
            <v>MCBE0083</v>
          </cell>
          <cell r="B606" t="str">
            <v>Evacuation des eaux pluviales</v>
          </cell>
          <cell r="C606" t="str">
            <v>Tuyaux fonte</v>
          </cell>
          <cell r="D606" t="str">
            <v xml:space="preserve">Descente fonte carré 100 x 100 - 1 ml </v>
          </cell>
        </row>
        <row r="607">
          <cell r="A607" t="str">
            <v>MCBE0083</v>
          </cell>
          <cell r="B607" t="str">
            <v>Evacuation des eaux pluviales</v>
          </cell>
          <cell r="C607" t="str">
            <v>Tuyaux fonte</v>
          </cell>
          <cell r="D607" t="str">
            <v xml:space="preserve">Descente fonte carré 100 x 100 - 1 ml </v>
          </cell>
        </row>
        <row r="608">
          <cell r="A608" t="str">
            <v>MCBE0083</v>
          </cell>
          <cell r="B608" t="str">
            <v>Evacuation des eaux pluviales</v>
          </cell>
          <cell r="C608" t="str">
            <v>Tuyaux fonte</v>
          </cell>
          <cell r="D608" t="str">
            <v xml:space="preserve">Descente fonte carré 100 x 100 - 1 ml </v>
          </cell>
        </row>
        <row r="609">
          <cell r="A609" t="str">
            <v>MCBE0083</v>
          </cell>
          <cell r="B609" t="str">
            <v>Evacuation des eaux pluviales</v>
          </cell>
          <cell r="C609" t="str">
            <v>Tuyaux fonte</v>
          </cell>
          <cell r="D609" t="str">
            <v xml:space="preserve">Descente fonte carré 100 x 100 - 1 ml </v>
          </cell>
        </row>
        <row r="610">
          <cell r="A610" t="str">
            <v>MCBE0083</v>
          </cell>
          <cell r="B610" t="str">
            <v>Evacuation des eaux pluviales</v>
          </cell>
          <cell r="C610" t="str">
            <v>Tuyaux fonte</v>
          </cell>
          <cell r="D610" t="str">
            <v xml:space="preserve">Descente fonte carré 100 x 100 - 1 ml </v>
          </cell>
        </row>
        <row r="611">
          <cell r="A611" t="str">
            <v>MCBE0084</v>
          </cell>
          <cell r="B611" t="str">
            <v>Evacuation des eaux pluviales</v>
          </cell>
          <cell r="C611" t="str">
            <v>Tuyaux fonte</v>
          </cell>
          <cell r="D611" t="str">
            <v>Tuyau fonte DN 150 lg 1 ml</v>
          </cell>
        </row>
        <row r="612">
          <cell r="A612" t="str">
            <v>MCBE0084</v>
          </cell>
          <cell r="B612" t="str">
            <v>Evacuation des eaux pluviales</v>
          </cell>
          <cell r="C612" t="str">
            <v>Tuyaux fonte</v>
          </cell>
          <cell r="D612" t="str">
            <v>Tuyau fonte DN 150 lg 1 ml</v>
          </cell>
        </row>
        <row r="613">
          <cell r="A613" t="str">
            <v>MCBE0084</v>
          </cell>
          <cell r="B613" t="str">
            <v>Evacuation des eaux pluviales</v>
          </cell>
          <cell r="C613" t="str">
            <v>Tuyaux fonte</v>
          </cell>
          <cell r="D613" t="str">
            <v>Tuyau fonte DN 150 lg 1 ml</v>
          </cell>
        </row>
        <row r="614">
          <cell r="A614" t="str">
            <v>MCBE0084</v>
          </cell>
          <cell r="B614" t="str">
            <v>Evacuation des eaux pluviales</v>
          </cell>
          <cell r="C614" t="str">
            <v>Tuyaux fonte</v>
          </cell>
          <cell r="D614" t="str">
            <v>Tuyau fonte DN 150 lg 1 ml</v>
          </cell>
        </row>
        <row r="615">
          <cell r="A615" t="str">
            <v>MCBE0084</v>
          </cell>
          <cell r="B615" t="str">
            <v>Evacuation des eaux pluviales</v>
          </cell>
          <cell r="C615" t="str">
            <v>Tuyaux fonte</v>
          </cell>
          <cell r="D615" t="str">
            <v>Tuyau fonte DN 150 lg 1 ml</v>
          </cell>
        </row>
        <row r="616">
          <cell r="A616" t="str">
            <v>MCBE0085</v>
          </cell>
          <cell r="B616" t="str">
            <v>Evacuation des eaux pluviales</v>
          </cell>
          <cell r="C616" t="str">
            <v>Tuyaux fonte</v>
          </cell>
          <cell r="D616" t="str">
            <v>Tuyau fonte DN 150 lg 2 ml</v>
          </cell>
        </row>
        <row r="617">
          <cell r="A617" t="str">
            <v>MCBE0085</v>
          </cell>
          <cell r="B617" t="str">
            <v>Evacuation des eaux pluviales</v>
          </cell>
          <cell r="C617" t="str">
            <v>Tuyaux fonte</v>
          </cell>
          <cell r="D617" t="str">
            <v>Tuyau fonte DN 150 lg 2 ml</v>
          </cell>
        </row>
        <row r="618">
          <cell r="A618" t="str">
            <v>MCBE0085</v>
          </cell>
          <cell r="B618" t="str">
            <v>Evacuation des eaux pluviales</v>
          </cell>
          <cell r="C618" t="str">
            <v>Tuyaux fonte</v>
          </cell>
          <cell r="D618" t="str">
            <v>Tuyau fonte DN 150 lg 2 ml</v>
          </cell>
        </row>
        <row r="619">
          <cell r="A619" t="str">
            <v>MCBE0085</v>
          </cell>
          <cell r="B619" t="str">
            <v>Evacuation des eaux pluviales</v>
          </cell>
          <cell r="C619" t="str">
            <v>Tuyaux fonte</v>
          </cell>
          <cell r="D619" t="str">
            <v>Tuyau fonte DN 150 lg 2 ml</v>
          </cell>
        </row>
        <row r="620">
          <cell r="A620" t="str">
            <v>MCBE0085</v>
          </cell>
          <cell r="B620" t="str">
            <v>Evacuation des eaux pluviales</v>
          </cell>
          <cell r="C620" t="str">
            <v>Tuyaux fonte</v>
          </cell>
          <cell r="D620" t="str">
            <v>Tuyau fonte DN 150 lg 2 ml</v>
          </cell>
        </row>
        <row r="621">
          <cell r="A621" t="str">
            <v>MCBE0086</v>
          </cell>
          <cell r="B621" t="str">
            <v>Evacuation des eaux pluviales</v>
          </cell>
          <cell r="C621" t="str">
            <v>Tuyaux fonte</v>
          </cell>
          <cell r="D621" t="str">
            <v>Tuyau fonte DN 25 lg 1 ml</v>
          </cell>
        </row>
        <row r="622">
          <cell r="A622" t="str">
            <v>MCBE0086</v>
          </cell>
          <cell r="B622" t="str">
            <v>Evacuation des eaux pluviales</v>
          </cell>
          <cell r="C622" t="str">
            <v>Tuyaux fonte</v>
          </cell>
          <cell r="D622" t="str">
            <v>Tuyau fonte DN 25 lg 1 ml</v>
          </cell>
        </row>
        <row r="623">
          <cell r="A623" t="str">
            <v>MCBE0086</v>
          </cell>
          <cell r="B623" t="str">
            <v>Evacuation des eaux pluviales</v>
          </cell>
          <cell r="C623" t="str">
            <v>Tuyaux fonte</v>
          </cell>
          <cell r="D623" t="str">
            <v>Tuyau fonte DN 25 lg 1 ml</v>
          </cell>
        </row>
        <row r="624">
          <cell r="A624" t="str">
            <v>MCBE0086</v>
          </cell>
          <cell r="B624" t="str">
            <v>Evacuation des eaux pluviales</v>
          </cell>
          <cell r="C624" t="str">
            <v>Tuyaux fonte</v>
          </cell>
          <cell r="D624" t="str">
            <v>Tuyau fonte DN 25 lg 1 ml</v>
          </cell>
        </row>
        <row r="625">
          <cell r="A625" t="str">
            <v>MCBE0087</v>
          </cell>
          <cell r="B625" t="str">
            <v>Evacuation des eaux pluviales</v>
          </cell>
          <cell r="C625" t="str">
            <v>Colliers acier galva</v>
          </cell>
          <cell r="D625" t="str">
            <v>Collier nervuré - Acier galvanisé D 100</v>
          </cell>
        </row>
        <row r="626">
          <cell r="A626" t="str">
            <v>MCBE0087</v>
          </cell>
          <cell r="B626" t="str">
            <v>Evacuation des eaux pluviales</v>
          </cell>
          <cell r="C626" t="str">
            <v>Colliers acier galva</v>
          </cell>
          <cell r="D626" t="str">
            <v>Collier nervuré - Acier galvanisé D 100</v>
          </cell>
        </row>
        <row r="627">
          <cell r="A627" t="str">
            <v>MCBE0087</v>
          </cell>
          <cell r="B627" t="str">
            <v>Evacuation des eaux pluviales</v>
          </cell>
          <cell r="C627" t="str">
            <v>Colliers acier galva</v>
          </cell>
          <cell r="D627" t="str">
            <v>Collier nervuré - Acier galvanisé D 100</v>
          </cell>
        </row>
        <row r="628">
          <cell r="A628" t="str">
            <v>MCBE0087</v>
          </cell>
          <cell r="B628" t="str">
            <v>Evacuation des eaux pluviales</v>
          </cell>
          <cell r="C628" t="str">
            <v>Colliers acier galva</v>
          </cell>
          <cell r="D628" t="str">
            <v>Collier nervuré - Acier galvanisé D 100</v>
          </cell>
        </row>
        <row r="629">
          <cell r="A629" t="str">
            <v>MCBE0088</v>
          </cell>
          <cell r="B629" t="str">
            <v>Evacuation des eaux pluviales</v>
          </cell>
          <cell r="C629" t="str">
            <v>Colliers acier galva</v>
          </cell>
          <cell r="D629" t="str">
            <v>Collier nervuré - Acier galvanisé D 80</v>
          </cell>
        </row>
        <row r="630">
          <cell r="A630" t="str">
            <v>MCBE0088</v>
          </cell>
          <cell r="B630" t="str">
            <v>Evacuation des eaux pluviales</v>
          </cell>
          <cell r="C630" t="str">
            <v>Colliers acier galva</v>
          </cell>
          <cell r="D630" t="str">
            <v>Collier nervuré - Acier galvanisé D 80</v>
          </cell>
        </row>
        <row r="631">
          <cell r="A631" t="str">
            <v>MCBE0088</v>
          </cell>
          <cell r="B631" t="str">
            <v>Evacuation des eaux pluviales</v>
          </cell>
          <cell r="C631" t="str">
            <v>Colliers acier galva</v>
          </cell>
          <cell r="D631" t="str">
            <v>Collier nervuré - Acier galvanisé D 80</v>
          </cell>
        </row>
        <row r="632">
          <cell r="A632" t="str">
            <v>MCBE0088</v>
          </cell>
          <cell r="B632" t="str">
            <v>Evacuation des eaux pluviales</v>
          </cell>
          <cell r="C632" t="str">
            <v>Colliers acier galva</v>
          </cell>
          <cell r="D632" t="str">
            <v>Collier nervuré - Acier galvanisé D 80</v>
          </cell>
        </row>
        <row r="633">
          <cell r="A633" t="str">
            <v>MCBE0089</v>
          </cell>
          <cell r="B633" t="str">
            <v>Evacuation des eaux pluviales</v>
          </cell>
          <cell r="C633" t="str">
            <v>Colliers acier galva</v>
          </cell>
          <cell r="D633" t="str">
            <v xml:space="preserve">Collier nervuré - Zinc Quartz D 100 </v>
          </cell>
        </row>
        <row r="634">
          <cell r="A634" t="str">
            <v>MCBE0089</v>
          </cell>
          <cell r="B634" t="str">
            <v>Evacuation des eaux pluviales</v>
          </cell>
          <cell r="C634" t="str">
            <v>Colliers acier galva</v>
          </cell>
          <cell r="D634" t="str">
            <v xml:space="preserve">Collier nervuré - Zinc Quartz D 100 </v>
          </cell>
        </row>
        <row r="635">
          <cell r="A635" t="str">
            <v>MCBE0089</v>
          </cell>
          <cell r="B635" t="str">
            <v>Evacuation des eaux pluviales</v>
          </cell>
          <cell r="C635" t="str">
            <v>Colliers acier galva</v>
          </cell>
          <cell r="D635" t="str">
            <v xml:space="preserve">Collier nervuré - Zinc Quartz D 100 </v>
          </cell>
        </row>
        <row r="636">
          <cell r="A636" t="str">
            <v>MCBE0089</v>
          </cell>
          <cell r="B636" t="str">
            <v>Evacuation des eaux pluviales</v>
          </cell>
          <cell r="C636" t="str">
            <v>Colliers acier galva</v>
          </cell>
          <cell r="D636" t="str">
            <v xml:space="preserve">Collier nervuré - Zinc Quartz D 100 </v>
          </cell>
        </row>
        <row r="637">
          <cell r="A637" t="str">
            <v>MCBE0089</v>
          </cell>
          <cell r="B637" t="str">
            <v>Evacuation des eaux pluviales</v>
          </cell>
          <cell r="C637" t="str">
            <v>Colliers acier galva</v>
          </cell>
          <cell r="D637" t="str">
            <v xml:space="preserve">Collier nervuré - Zinc Quartz D 100 </v>
          </cell>
        </row>
        <row r="638">
          <cell r="A638" t="str">
            <v>MCBE0090</v>
          </cell>
          <cell r="B638" t="str">
            <v>Evacuation des eaux pluviales</v>
          </cell>
          <cell r="C638" t="str">
            <v>Colliers acier galva</v>
          </cell>
          <cell r="D638" t="str">
            <v xml:space="preserve">Collier carré 100 x 100 Embase prégalva </v>
          </cell>
        </row>
        <row r="639">
          <cell r="A639" t="str">
            <v>MCBE0090</v>
          </cell>
          <cell r="B639" t="str">
            <v>Evacuation des eaux pluviales</v>
          </cell>
          <cell r="C639" t="str">
            <v>Colliers acier galva</v>
          </cell>
          <cell r="D639" t="str">
            <v xml:space="preserve">Collier carré 100 x 100 Embase prégalva </v>
          </cell>
        </row>
        <row r="640">
          <cell r="A640" t="str">
            <v>MCBE0090</v>
          </cell>
          <cell r="B640" t="str">
            <v>Evacuation des eaux pluviales</v>
          </cell>
          <cell r="C640" t="str">
            <v>Colliers acier galva</v>
          </cell>
          <cell r="D640" t="str">
            <v xml:space="preserve">Collier carré 100 x 100 Embase prégalva </v>
          </cell>
        </row>
        <row r="641">
          <cell r="A641" t="str">
            <v>MCBE0090</v>
          </cell>
          <cell r="B641" t="str">
            <v>Evacuation des eaux pluviales</v>
          </cell>
          <cell r="C641" t="str">
            <v>Colliers acier galva</v>
          </cell>
          <cell r="D641" t="str">
            <v xml:space="preserve">Collier carré 100 x 100 Embase prégalva </v>
          </cell>
        </row>
        <row r="642">
          <cell r="A642" t="str">
            <v>MCBE0090</v>
          </cell>
          <cell r="B642" t="str">
            <v>Evacuation des eaux pluviales</v>
          </cell>
          <cell r="C642" t="str">
            <v>Colliers acier galva</v>
          </cell>
          <cell r="D642" t="str">
            <v xml:space="preserve">Collier carré 100 x 100 Embase prégalva </v>
          </cell>
        </row>
        <row r="643">
          <cell r="A643" t="str">
            <v>MCBE0090</v>
          </cell>
          <cell r="B643" t="str">
            <v>Evacuation des eaux pluviales</v>
          </cell>
          <cell r="C643" t="str">
            <v>Colliers acier galva</v>
          </cell>
          <cell r="D643" t="str">
            <v xml:space="preserve">Collier carré 100 x 100 Embase prégalva </v>
          </cell>
        </row>
        <row r="644">
          <cell r="A644" t="str">
            <v>MCBE0091</v>
          </cell>
          <cell r="B644" t="str">
            <v>Evacuation des eaux pluviales</v>
          </cell>
          <cell r="C644" t="str">
            <v>Colliers acier galva</v>
          </cell>
          <cell r="D644" t="str">
            <v>Collier carré 100 x 100 Embase quartz</v>
          </cell>
        </row>
        <row r="645">
          <cell r="A645" t="str">
            <v>MCBE0091</v>
          </cell>
          <cell r="B645" t="str">
            <v>Evacuation des eaux pluviales</v>
          </cell>
          <cell r="C645" t="str">
            <v>Colliers acier galva</v>
          </cell>
          <cell r="D645" t="str">
            <v>Collier carré 100 x 100 Embase quartz</v>
          </cell>
        </row>
        <row r="646">
          <cell r="A646" t="str">
            <v>MCBE0091</v>
          </cell>
          <cell r="B646" t="str">
            <v>Evacuation des eaux pluviales</v>
          </cell>
          <cell r="C646" t="str">
            <v>Colliers acier galva</v>
          </cell>
          <cell r="D646" t="str">
            <v>Collier carré 100 x 100 Embase quartz</v>
          </cell>
        </row>
        <row r="647">
          <cell r="A647" t="str">
            <v>MCBE0091</v>
          </cell>
          <cell r="B647" t="str">
            <v>Evacuation des eaux pluviales</v>
          </cell>
          <cell r="C647" t="str">
            <v>Colliers acier galva</v>
          </cell>
          <cell r="D647" t="str">
            <v>Collier carré 100 x 100 Embase quartz</v>
          </cell>
        </row>
        <row r="648">
          <cell r="A648" t="str">
            <v>MCBE0091</v>
          </cell>
          <cell r="B648" t="str">
            <v>Evacuation des eaux pluviales</v>
          </cell>
          <cell r="C648" t="str">
            <v>Colliers acier galva</v>
          </cell>
          <cell r="D648" t="str">
            <v>Collier carré 100 x 100 Embase quartz</v>
          </cell>
        </row>
        <row r="649">
          <cell r="A649" t="str">
            <v>MCBE0091</v>
          </cell>
          <cell r="B649" t="str">
            <v>Evacuation des eaux pluviales</v>
          </cell>
          <cell r="C649" t="str">
            <v>Colliers acier galva</v>
          </cell>
          <cell r="D649" t="str">
            <v>Collier carré 100 x 100 Embase quartz</v>
          </cell>
        </row>
        <row r="650">
          <cell r="A650" t="str">
            <v>MCBE0092</v>
          </cell>
          <cell r="B650" t="str">
            <v>Evacuation des eaux pluviales</v>
          </cell>
          <cell r="C650" t="str">
            <v>Colliers acier galva</v>
          </cell>
          <cell r="D650" t="str">
            <v>COLLIER DIAM 140 EMBASE DE 7 QUARTZ (PC)</v>
          </cell>
        </row>
        <row r="651">
          <cell r="A651" t="str">
            <v>MCBE0092</v>
          </cell>
          <cell r="B651" t="str">
            <v>Evacuation des eaux pluviales</v>
          </cell>
          <cell r="C651" t="str">
            <v>Colliers acier galva</v>
          </cell>
          <cell r="D651" t="str">
            <v>COLLIER DIAM 140 EMBASE DE 7 QUARTZ (PC)</v>
          </cell>
        </row>
        <row r="652">
          <cell r="A652" t="str">
            <v>MCBE0092</v>
          </cell>
          <cell r="B652" t="str">
            <v>Evacuation des eaux pluviales</v>
          </cell>
          <cell r="C652" t="str">
            <v>Colliers acier galva</v>
          </cell>
          <cell r="D652" t="str">
            <v>COLLIER DIAM 140 EMBASE DE 7 QUARTZ (PC)</v>
          </cell>
        </row>
        <row r="653">
          <cell r="A653" t="str">
            <v>MCBE0092</v>
          </cell>
          <cell r="B653" t="str">
            <v>Evacuation des eaux pluviales</v>
          </cell>
          <cell r="C653" t="str">
            <v>Colliers acier galva</v>
          </cell>
          <cell r="D653" t="str">
            <v>COLLIER DIAM 140 EMBASE DE 7 QUARTZ (PC)</v>
          </cell>
        </row>
        <row r="654">
          <cell r="A654" t="str">
            <v>MCBE0092</v>
          </cell>
          <cell r="B654" t="str">
            <v>Evacuation des eaux pluviales</v>
          </cell>
          <cell r="C654" t="str">
            <v>Colliers acier galva</v>
          </cell>
          <cell r="D654" t="str">
            <v>COLLIER DIAM 140 EMBASE DE 7 QUARTZ (PC)</v>
          </cell>
        </row>
        <row r="655">
          <cell r="A655" t="str">
            <v>MCBE0092</v>
          </cell>
          <cell r="B655" t="str">
            <v>Evacuation des eaux pluviales</v>
          </cell>
          <cell r="C655" t="str">
            <v>Colliers acier galva</v>
          </cell>
          <cell r="D655" t="str">
            <v>COLLIER DIAM 140 EMBASE DE 7 QUARTZ (PC)</v>
          </cell>
        </row>
        <row r="656">
          <cell r="A656" t="str">
            <v>MCBE0093</v>
          </cell>
          <cell r="B656" t="str">
            <v>Evacuation des eaux pluviales</v>
          </cell>
          <cell r="C656" t="str">
            <v>Colliers acier galva</v>
          </cell>
          <cell r="D656" t="str">
            <v>COLLIER DIAM. 140 EMBASE 7 ANTHRA (PC)</v>
          </cell>
        </row>
        <row r="657">
          <cell r="A657" t="str">
            <v>MCBE0093</v>
          </cell>
          <cell r="B657" t="str">
            <v>Evacuation des eaux pluviales</v>
          </cell>
          <cell r="C657" t="str">
            <v>Colliers acier galva</v>
          </cell>
          <cell r="D657" t="str">
            <v>COLLIER DIAM. 140 EMBASE 7 ANTHRA (PC)</v>
          </cell>
        </row>
        <row r="658">
          <cell r="A658" t="str">
            <v>MCBE0093</v>
          </cell>
          <cell r="B658" t="str">
            <v>Evacuation des eaux pluviales</v>
          </cell>
          <cell r="C658" t="str">
            <v>Colliers acier galva</v>
          </cell>
          <cell r="D658" t="str">
            <v>COLLIER DIAM. 140 EMBASE 7 ANTHRA (PC)</v>
          </cell>
        </row>
        <row r="659">
          <cell r="A659" t="str">
            <v>MCBE0093</v>
          </cell>
          <cell r="B659" t="str">
            <v>Evacuation des eaux pluviales</v>
          </cell>
          <cell r="C659" t="str">
            <v>Colliers acier galva</v>
          </cell>
          <cell r="D659" t="str">
            <v>COLLIER DIAM. 140 EMBASE 7 ANTHRA (PC)</v>
          </cell>
        </row>
        <row r="660">
          <cell r="A660" t="str">
            <v>MCBE0093</v>
          </cell>
          <cell r="B660" t="str">
            <v>Evacuation des eaux pluviales</v>
          </cell>
          <cell r="C660" t="str">
            <v>Colliers acier galva</v>
          </cell>
          <cell r="D660" t="str">
            <v>COLLIER DIAM. 140 EMBASE 7 ANTHRA (PC)</v>
          </cell>
        </row>
        <row r="661">
          <cell r="A661" t="str">
            <v>MCBE0094</v>
          </cell>
          <cell r="B661" t="str">
            <v>Evacuation des eaux pluviales</v>
          </cell>
          <cell r="C661" t="str">
            <v>Colliers acier galva</v>
          </cell>
          <cell r="D661" t="str">
            <v>COLLIER DIAM. 140 EMBASE 7 GALVA</v>
          </cell>
        </row>
        <row r="662">
          <cell r="A662" t="str">
            <v>MCBE0094</v>
          </cell>
          <cell r="B662" t="str">
            <v>Evacuation des eaux pluviales</v>
          </cell>
          <cell r="C662" t="str">
            <v>Colliers acier galva</v>
          </cell>
          <cell r="D662" t="str">
            <v>COLLIER DIAM. 140 EMBASE 7 GALVA</v>
          </cell>
        </row>
        <row r="663">
          <cell r="A663" t="str">
            <v>MCBE0094</v>
          </cell>
          <cell r="B663" t="str">
            <v>Evacuation des eaux pluviales</v>
          </cell>
          <cell r="C663" t="str">
            <v>Colliers acier galva</v>
          </cell>
          <cell r="D663" t="str">
            <v>COLLIER DIAM. 140 EMBASE 7 GALVA</v>
          </cell>
        </row>
        <row r="664">
          <cell r="A664" t="str">
            <v>MCBE0094</v>
          </cell>
          <cell r="B664" t="str">
            <v>Evacuation des eaux pluviales</v>
          </cell>
          <cell r="C664" t="str">
            <v>Colliers acier galva</v>
          </cell>
          <cell r="D664" t="str">
            <v>COLLIER DIAM. 140 EMBASE 7 GALVA</v>
          </cell>
        </row>
        <row r="665">
          <cell r="A665" t="str">
            <v>MCBE0094</v>
          </cell>
          <cell r="B665" t="str">
            <v>Evacuation des eaux pluviales</v>
          </cell>
          <cell r="C665" t="str">
            <v>Colliers acier galva</v>
          </cell>
          <cell r="D665" t="str">
            <v>COLLIER DIAM. 140 EMBASE 7 GALVA</v>
          </cell>
        </row>
        <row r="666">
          <cell r="A666" t="str">
            <v>MCBE0094</v>
          </cell>
          <cell r="B666" t="str">
            <v>Evacuation des eaux pluviales</v>
          </cell>
          <cell r="C666" t="str">
            <v>Colliers acier galva</v>
          </cell>
          <cell r="D666" t="str">
            <v>COLLIER DIAM. 140 EMBASE 7 GALVA</v>
          </cell>
        </row>
        <row r="667">
          <cell r="A667" t="str">
            <v>MCBE0095</v>
          </cell>
          <cell r="B667" t="str">
            <v>Evacuation des eaux pluviales</v>
          </cell>
          <cell r="C667" t="str">
            <v>Colliers acier galva</v>
          </cell>
          <cell r="D667" t="str">
            <v>COLLIER NERV. DIAM. 100 EMBASE 7 ANTHRA</v>
          </cell>
        </row>
        <row r="668">
          <cell r="A668" t="str">
            <v>MCBE0095</v>
          </cell>
          <cell r="B668" t="str">
            <v>Evacuation des eaux pluviales</v>
          </cell>
          <cell r="C668" t="str">
            <v>Colliers acier galva</v>
          </cell>
          <cell r="D668" t="str">
            <v>COLLIER NERV. DIAM. 100 EMBASE 7 ANTHRA</v>
          </cell>
        </row>
        <row r="669">
          <cell r="A669" t="str">
            <v>MCBE0095</v>
          </cell>
          <cell r="B669" t="str">
            <v>Evacuation des eaux pluviales</v>
          </cell>
          <cell r="C669" t="str">
            <v>Colliers acier galva</v>
          </cell>
          <cell r="D669" t="str">
            <v>COLLIER NERV. DIAM. 100 EMBASE 7 ANTHRA</v>
          </cell>
        </row>
        <row r="670">
          <cell r="A670" t="str">
            <v>MCBE0095</v>
          </cell>
          <cell r="B670" t="str">
            <v>Evacuation des eaux pluviales</v>
          </cell>
          <cell r="C670" t="str">
            <v>Colliers acier galva</v>
          </cell>
          <cell r="D670" t="str">
            <v>COLLIER NERV. DIAM. 100 EMBASE 7 ANTHRA</v>
          </cell>
        </row>
        <row r="671">
          <cell r="A671" t="str">
            <v>MCBE0095</v>
          </cell>
          <cell r="B671" t="str">
            <v>Evacuation des eaux pluviales</v>
          </cell>
          <cell r="C671" t="str">
            <v>Colliers acier galva</v>
          </cell>
          <cell r="D671" t="str">
            <v>COLLIER NERV. DIAM. 100 EMBASE 7 ANTHRA</v>
          </cell>
        </row>
        <row r="672">
          <cell r="A672" t="str">
            <v>MCBE0095</v>
          </cell>
          <cell r="B672" t="str">
            <v>Evacuation des eaux pluviales</v>
          </cell>
          <cell r="C672" t="str">
            <v>Colliers acier galva</v>
          </cell>
          <cell r="D672" t="str">
            <v>COLLIER NERV. DIAM. 100 EMBASE 7 ANTHRA</v>
          </cell>
        </row>
        <row r="673">
          <cell r="A673" t="str">
            <v>MCBE0096</v>
          </cell>
          <cell r="B673" t="str">
            <v>Evacuation des eaux pluviales</v>
          </cell>
          <cell r="C673" t="str">
            <v>Colliers acier galva</v>
          </cell>
          <cell r="D673" t="str">
            <v>COLLIER NERV. DIAM. 100 EMBASE 7 QUARTZ</v>
          </cell>
        </row>
        <row r="674">
          <cell r="A674" t="str">
            <v>MCBE0096</v>
          </cell>
          <cell r="B674" t="str">
            <v>Evacuation des eaux pluviales</v>
          </cell>
          <cell r="C674" t="str">
            <v>Colliers acier galva</v>
          </cell>
          <cell r="D674" t="str">
            <v>COLLIER NERV. DIAM. 100 EMBASE 7 QUARTZ</v>
          </cell>
        </row>
        <row r="675">
          <cell r="A675" t="str">
            <v>MCBE0096</v>
          </cell>
          <cell r="B675" t="str">
            <v>Evacuation des eaux pluviales</v>
          </cell>
          <cell r="C675" t="str">
            <v>Colliers acier galva</v>
          </cell>
          <cell r="D675" t="str">
            <v>COLLIER NERV. DIAM. 100 EMBASE 7 QUARTZ</v>
          </cell>
        </row>
        <row r="676">
          <cell r="A676" t="str">
            <v>MCBE0096</v>
          </cell>
          <cell r="B676" t="str">
            <v>Evacuation des eaux pluviales</v>
          </cell>
          <cell r="C676" t="str">
            <v>Colliers acier galva</v>
          </cell>
          <cell r="D676" t="str">
            <v>COLLIER NERV. DIAM. 100 EMBASE 7 QUARTZ</v>
          </cell>
        </row>
        <row r="677">
          <cell r="A677" t="str">
            <v>MCBE0096</v>
          </cell>
          <cell r="B677" t="str">
            <v>Evacuation des eaux pluviales</v>
          </cell>
          <cell r="C677" t="str">
            <v>Colliers acier galva</v>
          </cell>
          <cell r="D677" t="str">
            <v>COLLIER NERV. DIAM. 100 EMBASE 7 QUARTZ</v>
          </cell>
        </row>
        <row r="678">
          <cell r="A678" t="str">
            <v>MCBE0096</v>
          </cell>
          <cell r="B678" t="str">
            <v>Evacuation des eaux pluviales</v>
          </cell>
          <cell r="C678" t="str">
            <v>Colliers acier galva</v>
          </cell>
          <cell r="D678" t="str">
            <v>COLLIER NERV. DIAM. 100 EMBASE 7 QUARTZ</v>
          </cell>
        </row>
        <row r="679">
          <cell r="A679" t="str">
            <v>MCBE0097</v>
          </cell>
          <cell r="B679" t="str">
            <v>Evacuation des eaux pluviales</v>
          </cell>
          <cell r="C679" t="str">
            <v>Colliers acier galva</v>
          </cell>
          <cell r="D679" t="str">
            <v>COLLIER NERV. DIAM. 110 EMBASE 7 PREGALVA</v>
          </cell>
        </row>
        <row r="680">
          <cell r="A680" t="str">
            <v>MCBE0097</v>
          </cell>
          <cell r="B680" t="str">
            <v>Evacuation des eaux pluviales</v>
          </cell>
          <cell r="C680" t="str">
            <v>Colliers acier galva</v>
          </cell>
          <cell r="D680" t="str">
            <v>COLLIER NERV. DIAM. 110 EMBASE 7 PREGALVA</v>
          </cell>
        </row>
        <row r="681">
          <cell r="A681" t="str">
            <v>MCBE0097</v>
          </cell>
          <cell r="B681" t="str">
            <v>Evacuation des eaux pluviales</v>
          </cell>
          <cell r="C681" t="str">
            <v>Colliers acier galva</v>
          </cell>
          <cell r="D681" t="str">
            <v>COLLIER NERV. DIAM. 110 EMBASE 7 PREGALVA</v>
          </cell>
        </row>
        <row r="682">
          <cell r="A682" t="str">
            <v>MCBE0097</v>
          </cell>
          <cell r="B682" t="str">
            <v>Evacuation des eaux pluviales</v>
          </cell>
          <cell r="C682" t="str">
            <v>Colliers acier galva</v>
          </cell>
          <cell r="D682" t="str">
            <v>COLLIER NERV. DIAM. 110 EMBASE 7 PREGALVA</v>
          </cell>
        </row>
        <row r="683">
          <cell r="A683" t="str">
            <v>MCBE0097</v>
          </cell>
          <cell r="B683" t="str">
            <v>Evacuation des eaux pluviales</v>
          </cell>
          <cell r="C683" t="str">
            <v>Colliers acier galva</v>
          </cell>
          <cell r="D683" t="str">
            <v>COLLIER NERV. DIAM. 110 EMBASE 7 PREGALVA</v>
          </cell>
        </row>
        <row r="684">
          <cell r="A684" t="str">
            <v>MCBE0097</v>
          </cell>
          <cell r="B684" t="str">
            <v>Evacuation des eaux pluviales</v>
          </cell>
          <cell r="C684" t="str">
            <v>Colliers acier galva</v>
          </cell>
          <cell r="D684" t="str">
            <v>COLLIER NERV. DIAM. 110 EMBASE 7 PREGALVA</v>
          </cell>
        </row>
        <row r="685">
          <cell r="A685" t="str">
            <v>MCBE0098</v>
          </cell>
          <cell r="B685" t="str">
            <v>Evacuation des eaux pluviales</v>
          </cell>
          <cell r="C685" t="str">
            <v>Colliers acier galva</v>
          </cell>
          <cell r="D685" t="str">
            <v>COLLIER NERV. DIAM. 120 EMBASE 7 PREGALVA</v>
          </cell>
        </row>
        <row r="686">
          <cell r="A686" t="str">
            <v>MCBE0098</v>
          </cell>
          <cell r="B686" t="str">
            <v>Evacuation des eaux pluviales</v>
          </cell>
          <cell r="C686" t="str">
            <v>Colliers acier galva</v>
          </cell>
          <cell r="D686" t="str">
            <v>COLLIER NERV. DIAM. 120 EMBASE 7 PREGALVA</v>
          </cell>
        </row>
        <row r="687">
          <cell r="A687" t="str">
            <v>MCBE0098</v>
          </cell>
          <cell r="B687" t="str">
            <v>Evacuation des eaux pluviales</v>
          </cell>
          <cell r="C687" t="str">
            <v>Colliers acier galva</v>
          </cell>
          <cell r="D687" t="str">
            <v>COLLIER NERV. DIAM. 120 EMBASE 7 PREGALVA</v>
          </cell>
        </row>
        <row r="688">
          <cell r="A688" t="str">
            <v>MCBE0098</v>
          </cell>
          <cell r="B688" t="str">
            <v>Evacuation des eaux pluviales</v>
          </cell>
          <cell r="C688" t="str">
            <v>Colliers acier galva</v>
          </cell>
          <cell r="D688" t="str">
            <v>COLLIER NERV. DIAM. 120 EMBASE 7 PREGALVA</v>
          </cell>
        </row>
        <row r="689">
          <cell r="A689" t="str">
            <v>MCBE0098</v>
          </cell>
          <cell r="B689" t="str">
            <v>Evacuation des eaux pluviales</v>
          </cell>
          <cell r="C689" t="str">
            <v>Colliers acier galva</v>
          </cell>
          <cell r="D689" t="str">
            <v>COLLIER NERV. DIAM. 120 EMBASE 7 PREGALVA</v>
          </cell>
        </row>
        <row r="690">
          <cell r="A690" t="str">
            <v>MCBE0098</v>
          </cell>
          <cell r="B690" t="str">
            <v>Evacuation des eaux pluviales</v>
          </cell>
          <cell r="C690" t="str">
            <v>Colliers acier galva</v>
          </cell>
          <cell r="D690" t="str">
            <v>COLLIER NERV. DIAM. 120 EMBASE 7 PREGALVA</v>
          </cell>
        </row>
        <row r="691">
          <cell r="A691" t="str">
            <v>MCBE0099</v>
          </cell>
          <cell r="B691" t="str">
            <v>Evacuation des eaux pluviales</v>
          </cell>
          <cell r="C691" t="str">
            <v>Colliers acier galva</v>
          </cell>
          <cell r="D691" t="str">
            <v>COLLIER NERV. DIAM. 120 EMBASE 7 QUARTZ</v>
          </cell>
        </row>
        <row r="692">
          <cell r="A692" t="str">
            <v>MCBE0099</v>
          </cell>
          <cell r="B692" t="str">
            <v>Evacuation des eaux pluviales</v>
          </cell>
          <cell r="C692" t="str">
            <v>Colliers acier galva</v>
          </cell>
          <cell r="D692" t="str">
            <v>COLLIER NERV. DIAM. 120 EMBASE 7 QUARTZ</v>
          </cell>
        </row>
        <row r="693">
          <cell r="A693" t="str">
            <v>MCBE0099</v>
          </cell>
          <cell r="B693" t="str">
            <v>Evacuation des eaux pluviales</v>
          </cell>
          <cell r="C693" t="str">
            <v>Colliers acier galva</v>
          </cell>
          <cell r="D693" t="str">
            <v>COLLIER NERV. DIAM. 120 EMBASE 7 QUARTZ</v>
          </cell>
        </row>
        <row r="694">
          <cell r="A694" t="str">
            <v>MCBE0099</v>
          </cell>
          <cell r="B694" t="str">
            <v>Evacuation des eaux pluviales</v>
          </cell>
          <cell r="C694" t="str">
            <v>Colliers acier galva</v>
          </cell>
          <cell r="D694" t="str">
            <v>COLLIER NERV. DIAM. 120 EMBASE 7 QUARTZ</v>
          </cell>
        </row>
        <row r="695">
          <cell r="A695" t="str">
            <v>MCBE0099</v>
          </cell>
          <cell r="B695" t="str">
            <v>Evacuation des eaux pluviales</v>
          </cell>
          <cell r="C695" t="str">
            <v>Colliers acier galva</v>
          </cell>
          <cell r="D695" t="str">
            <v>COLLIER NERV. DIAM. 120 EMBASE 7 QUARTZ</v>
          </cell>
        </row>
        <row r="696">
          <cell r="A696" t="str">
            <v>MCBE0099</v>
          </cell>
          <cell r="B696" t="str">
            <v>Evacuation des eaux pluviales</v>
          </cell>
          <cell r="C696" t="str">
            <v>Colliers acier galva</v>
          </cell>
          <cell r="D696" t="str">
            <v>COLLIER NERV. DIAM. 120 EMBASE 7 QUARTZ</v>
          </cell>
        </row>
        <row r="697">
          <cell r="A697" t="str">
            <v>MCBE0100</v>
          </cell>
          <cell r="B697" t="str">
            <v>Evacuation des eaux pluviales</v>
          </cell>
          <cell r="C697" t="str">
            <v>Colliers acier galva</v>
          </cell>
          <cell r="D697" t="str">
            <v>COLLIER NERV. DIAM. 135 EMBASE 7 GALVA</v>
          </cell>
        </row>
        <row r="698">
          <cell r="A698" t="str">
            <v>MCBE0100</v>
          </cell>
          <cell r="B698" t="str">
            <v>Evacuation des eaux pluviales</v>
          </cell>
          <cell r="C698" t="str">
            <v>Colliers acier galva</v>
          </cell>
          <cell r="D698" t="str">
            <v>COLLIER NERV. DIAM. 135 EMBASE 7 GALVA</v>
          </cell>
        </row>
        <row r="699">
          <cell r="A699" t="str">
            <v>MCBE0100</v>
          </cell>
          <cell r="B699" t="str">
            <v>Evacuation des eaux pluviales</v>
          </cell>
          <cell r="C699" t="str">
            <v>Colliers acier galva</v>
          </cell>
          <cell r="D699" t="str">
            <v>COLLIER NERV. DIAM. 135 EMBASE 7 GALVA</v>
          </cell>
        </row>
        <row r="700">
          <cell r="A700" t="str">
            <v>MCBE0100</v>
          </cell>
          <cell r="B700" t="str">
            <v>Evacuation des eaux pluviales</v>
          </cell>
          <cell r="C700" t="str">
            <v>Colliers acier galva</v>
          </cell>
          <cell r="D700" t="str">
            <v>COLLIER NERV. DIAM. 135 EMBASE 7 GALVA</v>
          </cell>
        </row>
        <row r="701">
          <cell r="A701" t="str">
            <v>MCBE0100</v>
          </cell>
          <cell r="B701" t="str">
            <v>Evacuation des eaux pluviales</v>
          </cell>
          <cell r="C701" t="str">
            <v>Colliers acier galva</v>
          </cell>
          <cell r="D701" t="str">
            <v>COLLIER NERV. DIAM. 135 EMBASE 7 GALVA</v>
          </cell>
        </row>
        <row r="702">
          <cell r="A702" t="str">
            <v>MCBE0100</v>
          </cell>
          <cell r="B702" t="str">
            <v>Evacuation des eaux pluviales</v>
          </cell>
          <cell r="C702" t="str">
            <v>Colliers acier galva</v>
          </cell>
          <cell r="D702" t="str">
            <v>COLLIER NERV. DIAM. 135 EMBASE 7 GALVA</v>
          </cell>
        </row>
        <row r="703">
          <cell r="A703" t="str">
            <v>MCBE0101</v>
          </cell>
          <cell r="B703" t="str">
            <v>Evacuation des eaux pluviales</v>
          </cell>
          <cell r="C703" t="str">
            <v>Colliers acier galva</v>
          </cell>
          <cell r="D703" t="str">
            <v>COLLIER NERV. DIAM. 160 EMBASE 7 GALVA</v>
          </cell>
        </row>
        <row r="704">
          <cell r="A704" t="str">
            <v>MCBE0101</v>
          </cell>
          <cell r="B704" t="str">
            <v>Evacuation des eaux pluviales</v>
          </cell>
          <cell r="C704" t="str">
            <v>Colliers acier galva</v>
          </cell>
          <cell r="D704" t="str">
            <v>COLLIER NERV. DIAM. 160 EMBASE 7 GALVA</v>
          </cell>
        </row>
        <row r="705">
          <cell r="A705" t="str">
            <v>MCBE0101</v>
          </cell>
          <cell r="B705" t="str">
            <v>Evacuation des eaux pluviales</v>
          </cell>
          <cell r="C705" t="str">
            <v>Colliers acier galva</v>
          </cell>
          <cell r="D705" t="str">
            <v>COLLIER NERV. DIAM. 160 EMBASE 7 GALVA</v>
          </cell>
        </row>
        <row r="706">
          <cell r="A706" t="str">
            <v>MCBE0101</v>
          </cell>
          <cell r="B706" t="str">
            <v>Evacuation des eaux pluviales</v>
          </cell>
          <cell r="C706" t="str">
            <v>Colliers acier galva</v>
          </cell>
          <cell r="D706" t="str">
            <v>COLLIER NERV. DIAM. 160 EMBASE 7 GALVA</v>
          </cell>
        </row>
        <row r="707">
          <cell r="A707" t="str">
            <v>MCBE0101</v>
          </cell>
          <cell r="B707" t="str">
            <v>Evacuation des eaux pluviales</v>
          </cell>
          <cell r="C707" t="str">
            <v>Colliers acier galva</v>
          </cell>
          <cell r="D707" t="str">
            <v>COLLIER NERV. DIAM. 160 EMBASE 7 GALVA</v>
          </cell>
        </row>
        <row r="708">
          <cell r="A708" t="str">
            <v>MCBE0101</v>
          </cell>
          <cell r="B708" t="str">
            <v>Evacuation des eaux pluviales</v>
          </cell>
          <cell r="C708" t="str">
            <v>Colliers acier galva</v>
          </cell>
          <cell r="D708" t="str">
            <v>COLLIER NERV. DIAM. 160 EMBASE 7 GALVA</v>
          </cell>
        </row>
        <row r="709">
          <cell r="A709" t="str">
            <v>MCBE0102</v>
          </cell>
          <cell r="B709" t="str">
            <v>Evacuation des eaux pluviales</v>
          </cell>
          <cell r="C709" t="str">
            <v>Colliers acier galva</v>
          </cell>
          <cell r="D709" t="str">
            <v>COLLIER NERV. DIAM. 60 EMBASE 7 GALVA</v>
          </cell>
        </row>
        <row r="710">
          <cell r="A710" t="str">
            <v>MCBE0102</v>
          </cell>
          <cell r="B710" t="str">
            <v>Evacuation des eaux pluviales</v>
          </cell>
          <cell r="C710" t="str">
            <v>Colliers acier galva</v>
          </cell>
          <cell r="D710" t="str">
            <v>COLLIER NERV. DIAM. 60 EMBASE 7 GALVA</v>
          </cell>
        </row>
        <row r="711">
          <cell r="A711" t="str">
            <v>MCBE0102</v>
          </cell>
          <cell r="B711" t="str">
            <v>Evacuation des eaux pluviales</v>
          </cell>
          <cell r="C711" t="str">
            <v>Colliers acier galva</v>
          </cell>
          <cell r="D711" t="str">
            <v>COLLIER NERV. DIAM. 60 EMBASE 7 GALVA</v>
          </cell>
        </row>
        <row r="712">
          <cell r="A712" t="str">
            <v>MCBE0102</v>
          </cell>
          <cell r="B712" t="str">
            <v>Evacuation des eaux pluviales</v>
          </cell>
          <cell r="C712" t="str">
            <v>Colliers acier galva</v>
          </cell>
          <cell r="D712" t="str">
            <v>COLLIER NERV. DIAM. 60 EMBASE 7 GALVA</v>
          </cell>
        </row>
        <row r="713">
          <cell r="A713" t="str">
            <v>MCBE0102</v>
          </cell>
          <cell r="B713" t="str">
            <v>Evacuation des eaux pluviales</v>
          </cell>
          <cell r="C713" t="str">
            <v>Colliers acier galva</v>
          </cell>
          <cell r="D713" t="str">
            <v>COLLIER NERV. DIAM. 60 EMBASE 7 GALVA</v>
          </cell>
        </row>
        <row r="714">
          <cell r="A714" t="str">
            <v>MCBE0102</v>
          </cell>
          <cell r="B714" t="str">
            <v>Evacuation des eaux pluviales</v>
          </cell>
          <cell r="C714" t="str">
            <v>Colliers acier galva</v>
          </cell>
          <cell r="D714" t="str">
            <v>COLLIER NERV. DIAM. 60 EMBASE 7 GALVA</v>
          </cell>
        </row>
        <row r="715">
          <cell r="A715" t="str">
            <v>MCBE0103</v>
          </cell>
          <cell r="B715" t="str">
            <v>Evacuation des eaux pluviales</v>
          </cell>
          <cell r="C715" t="str">
            <v>Colliers acier galva</v>
          </cell>
          <cell r="D715" t="str">
            <v>COLLIER NERV. DIAM. 80 EMBASE 7 PREGALVA</v>
          </cell>
        </row>
        <row r="716">
          <cell r="A716" t="str">
            <v>MCBE0103</v>
          </cell>
          <cell r="B716" t="str">
            <v>Evacuation des eaux pluviales</v>
          </cell>
          <cell r="C716" t="str">
            <v>Colliers acier galva</v>
          </cell>
          <cell r="D716" t="str">
            <v>COLLIER NERV. DIAM. 80 EMBASE 7 PREGALVA</v>
          </cell>
        </row>
        <row r="717">
          <cell r="A717" t="str">
            <v>MCBE0103</v>
          </cell>
          <cell r="B717" t="str">
            <v>Evacuation des eaux pluviales</v>
          </cell>
          <cell r="C717" t="str">
            <v>Colliers acier galva</v>
          </cell>
          <cell r="D717" t="str">
            <v>COLLIER NERV. DIAM. 80 EMBASE 7 PREGALVA</v>
          </cell>
        </row>
        <row r="718">
          <cell r="A718" t="str">
            <v>MCBE0103</v>
          </cell>
          <cell r="B718" t="str">
            <v>Evacuation des eaux pluviales</v>
          </cell>
          <cell r="C718" t="str">
            <v>Colliers acier galva</v>
          </cell>
          <cell r="D718" t="str">
            <v>COLLIER NERV. DIAM. 80 EMBASE 7 PREGALVA</v>
          </cell>
        </row>
        <row r="719">
          <cell r="A719" t="str">
            <v>MCBE0103</v>
          </cell>
          <cell r="B719" t="str">
            <v>Evacuation des eaux pluviales</v>
          </cell>
          <cell r="C719" t="str">
            <v>Colliers acier galva</v>
          </cell>
          <cell r="D719" t="str">
            <v>COLLIER NERV. DIAM. 80 EMBASE 7 PREGALVA</v>
          </cell>
        </row>
        <row r="720">
          <cell r="A720" t="str">
            <v>MCBE0103</v>
          </cell>
          <cell r="B720" t="str">
            <v>Evacuation des eaux pluviales</v>
          </cell>
          <cell r="C720" t="str">
            <v>Colliers acier galva</v>
          </cell>
          <cell r="D720" t="str">
            <v>COLLIER NERV. DIAM. 80 EMBASE 7 PREGALVA</v>
          </cell>
        </row>
        <row r="721">
          <cell r="A721" t="str">
            <v>MCBE0104</v>
          </cell>
          <cell r="B721" t="str">
            <v>Evacuation des eaux pluviales</v>
          </cell>
          <cell r="C721" t="str">
            <v>Colliers acier galva</v>
          </cell>
          <cell r="D721" t="str">
            <v>COLLIER NERV. DIAM. 80 EMBASE 7 QUARTZ (181E7080Q)</v>
          </cell>
        </row>
        <row r="722">
          <cell r="A722" t="str">
            <v>MCBE0104</v>
          </cell>
          <cell r="B722" t="str">
            <v>Evacuation des eaux pluviales</v>
          </cell>
          <cell r="C722" t="str">
            <v>Colliers acier galva</v>
          </cell>
          <cell r="D722" t="str">
            <v>COLLIER NERV. DIAM. 80 EMBASE 7 QUARTZ (181E7080Q)</v>
          </cell>
        </row>
        <row r="723">
          <cell r="A723" t="str">
            <v>MCBE0104</v>
          </cell>
          <cell r="B723" t="str">
            <v>Evacuation des eaux pluviales</v>
          </cell>
          <cell r="C723" t="str">
            <v>Colliers acier galva</v>
          </cell>
          <cell r="D723" t="str">
            <v>COLLIER NERV. DIAM. 80 EMBASE 7 QUARTZ (181E7080Q)</v>
          </cell>
        </row>
        <row r="724">
          <cell r="A724" t="str">
            <v>MCBE0104</v>
          </cell>
          <cell r="B724" t="str">
            <v>Evacuation des eaux pluviales</v>
          </cell>
          <cell r="C724" t="str">
            <v>Colliers acier galva</v>
          </cell>
          <cell r="D724" t="str">
            <v>COLLIER NERV. DIAM. 80 EMBASE 7 QUARTZ (181E7080Q)</v>
          </cell>
        </row>
        <row r="725">
          <cell r="A725" t="str">
            <v>MCBE0104</v>
          </cell>
          <cell r="B725" t="str">
            <v>Evacuation des eaux pluviales</v>
          </cell>
          <cell r="C725" t="str">
            <v>Colliers acier galva</v>
          </cell>
          <cell r="D725" t="str">
            <v>COLLIER NERV. DIAM. 80 EMBASE 7 QUARTZ (181E7080Q)</v>
          </cell>
        </row>
        <row r="726">
          <cell r="A726" t="str">
            <v>MCBE0105</v>
          </cell>
          <cell r="B726" t="str">
            <v>Evacuation des eaux pluviales</v>
          </cell>
          <cell r="C726" t="str">
            <v>Colliers acier galva</v>
          </cell>
          <cell r="D726" t="str">
            <v>COLLIER NERV. DIAM.100 EMBASE 7 PREGALVA</v>
          </cell>
        </row>
        <row r="727">
          <cell r="A727" t="str">
            <v>MCBE0105</v>
          </cell>
          <cell r="B727" t="str">
            <v>Evacuation des eaux pluviales</v>
          </cell>
          <cell r="C727" t="str">
            <v>Colliers acier galva</v>
          </cell>
          <cell r="D727" t="str">
            <v>COLLIER NERV. DIAM.100 EMBASE 7 PREGALVA</v>
          </cell>
        </row>
        <row r="728">
          <cell r="A728" t="str">
            <v>MCBE0105</v>
          </cell>
          <cell r="B728" t="str">
            <v>Evacuation des eaux pluviales</v>
          </cell>
          <cell r="C728" t="str">
            <v>Colliers acier galva</v>
          </cell>
          <cell r="D728" t="str">
            <v>COLLIER NERV. DIAM.100 EMBASE 7 PREGALVA</v>
          </cell>
        </row>
        <row r="729">
          <cell r="A729" t="str">
            <v>MCBE0105</v>
          </cell>
          <cell r="B729" t="str">
            <v>Evacuation des eaux pluviales</v>
          </cell>
          <cell r="C729" t="str">
            <v>Colliers acier galva</v>
          </cell>
          <cell r="D729" t="str">
            <v>COLLIER NERV. DIAM.100 EMBASE 7 PREGALVA</v>
          </cell>
        </row>
        <row r="730">
          <cell r="A730" t="str">
            <v>MCBE0105</v>
          </cell>
          <cell r="B730" t="str">
            <v>Evacuation des eaux pluviales</v>
          </cell>
          <cell r="C730" t="str">
            <v>Colliers acier galva</v>
          </cell>
          <cell r="D730" t="str">
            <v>COLLIER NERV. DIAM.100 EMBASE 7 PREGALVA</v>
          </cell>
        </row>
        <row r="731">
          <cell r="A731" t="str">
            <v>MCBE0105</v>
          </cell>
          <cell r="B731" t="str">
            <v>Evacuation des eaux pluviales</v>
          </cell>
          <cell r="C731" t="str">
            <v>Colliers acier galva</v>
          </cell>
          <cell r="D731" t="str">
            <v>COLLIER NERV. DIAM.100 EMBASE 7 PREGALVA</v>
          </cell>
        </row>
        <row r="732">
          <cell r="A732" t="str">
            <v>MCBE0106</v>
          </cell>
          <cell r="B732" t="str">
            <v>Evacuation des eaux pluviales</v>
          </cell>
          <cell r="C732" t="str">
            <v>Colliers acier galva</v>
          </cell>
          <cell r="D732" t="str">
            <v>COLLIER NERV. DIAM.120 EMBASE 7 ANTHRA</v>
          </cell>
        </row>
        <row r="733">
          <cell r="A733" t="str">
            <v>MCBE0106</v>
          </cell>
          <cell r="B733" t="str">
            <v>Evacuation des eaux pluviales</v>
          </cell>
          <cell r="C733" t="str">
            <v>Colliers acier galva</v>
          </cell>
          <cell r="D733" t="str">
            <v>COLLIER NERV. DIAM.120 EMBASE 7 ANTHRA</v>
          </cell>
        </row>
        <row r="734">
          <cell r="A734" t="str">
            <v>MCBE0106</v>
          </cell>
          <cell r="B734" t="str">
            <v>Evacuation des eaux pluviales</v>
          </cell>
          <cell r="C734" t="str">
            <v>Colliers acier galva</v>
          </cell>
          <cell r="D734" t="str">
            <v>COLLIER NERV. DIAM.120 EMBASE 7 ANTHRA</v>
          </cell>
        </row>
        <row r="735">
          <cell r="A735" t="str">
            <v>MCBE0106</v>
          </cell>
          <cell r="B735" t="str">
            <v>Evacuation des eaux pluviales</v>
          </cell>
          <cell r="C735" t="str">
            <v>Colliers acier galva</v>
          </cell>
          <cell r="D735" t="str">
            <v>COLLIER NERV. DIAM.120 EMBASE 7 ANTHRA</v>
          </cell>
        </row>
        <row r="736">
          <cell r="A736" t="str">
            <v>MCBE0106</v>
          </cell>
          <cell r="B736" t="str">
            <v>Evacuation des eaux pluviales</v>
          </cell>
          <cell r="C736" t="str">
            <v>Colliers acier galva</v>
          </cell>
          <cell r="D736" t="str">
            <v>COLLIER NERV. DIAM.120 EMBASE 7 ANTHRA</v>
          </cell>
        </row>
        <row r="737">
          <cell r="A737" t="str">
            <v>MCBE0106</v>
          </cell>
          <cell r="B737" t="str">
            <v>Evacuation des eaux pluviales</v>
          </cell>
          <cell r="C737" t="str">
            <v>Colliers acier galva</v>
          </cell>
          <cell r="D737" t="str">
            <v>COLLIER NERV. DIAM.120 EMBASE 7 ANTHRA</v>
          </cell>
        </row>
        <row r="738">
          <cell r="A738" t="str">
            <v>MCBE0107</v>
          </cell>
          <cell r="B738" t="str">
            <v>Evacuation des eaux pluviales</v>
          </cell>
          <cell r="C738" t="str">
            <v>Colliers pvc</v>
          </cell>
          <cell r="D738" t="str">
            <v>COLLIER DE FIXATION DIAM 100 AVEC PATTE A VIS 7 X 40 A VISSER BLANC</v>
          </cell>
        </row>
        <row r="739">
          <cell r="A739" t="str">
            <v>MCBE0107</v>
          </cell>
          <cell r="B739" t="str">
            <v>Evacuation des eaux pluviales</v>
          </cell>
          <cell r="C739" t="str">
            <v>Colliers pvc</v>
          </cell>
          <cell r="D739" t="str">
            <v>COLLIER DE FIXATION DIAM 100 AVEC PATTE A VIS 7 X 40 A VISSER BLANC</v>
          </cell>
        </row>
        <row r="740">
          <cell r="A740" t="str">
            <v>MCBE0107</v>
          </cell>
          <cell r="B740" t="str">
            <v>Evacuation des eaux pluviales</v>
          </cell>
          <cell r="C740" t="str">
            <v>Colliers pvc</v>
          </cell>
          <cell r="D740" t="str">
            <v>COLLIER DE FIXATION DIAM 100 AVEC PATTE A VIS 7 X 40 A VISSER BLANC</v>
          </cell>
        </row>
        <row r="741">
          <cell r="A741" t="str">
            <v>MCBE0107</v>
          </cell>
          <cell r="B741" t="str">
            <v>Evacuation des eaux pluviales</v>
          </cell>
          <cell r="C741" t="str">
            <v>Colliers pvc</v>
          </cell>
          <cell r="D741" t="str">
            <v>COLLIER DE FIXATION DIAM 100 AVEC PATTE A VIS 7 X 40 A VISSER BLANC</v>
          </cell>
        </row>
        <row r="742">
          <cell r="A742" t="str">
            <v>MCBE0107</v>
          </cell>
          <cell r="B742" t="str">
            <v>Evacuation des eaux pluviales</v>
          </cell>
          <cell r="C742" t="str">
            <v>Colliers pvc</v>
          </cell>
          <cell r="D742" t="str">
            <v>COLLIER DE FIXATION DIAM 100 AVEC PATTE A VIS 7 X 40 A VISSER BLANC</v>
          </cell>
        </row>
        <row r="743">
          <cell r="A743" t="str">
            <v>MCBE0107</v>
          </cell>
          <cell r="B743" t="str">
            <v>Evacuation des eaux pluviales</v>
          </cell>
          <cell r="C743" t="str">
            <v>Colliers pvc</v>
          </cell>
          <cell r="D743" t="str">
            <v>COLLIER DE FIXATION DIAM 100 AVEC PATTE A VIS 7 X 40 A VISSER BLANC</v>
          </cell>
        </row>
        <row r="744">
          <cell r="A744" t="str">
            <v>MCBE0108</v>
          </cell>
          <cell r="B744" t="str">
            <v>Evacuation des eaux pluviales</v>
          </cell>
          <cell r="C744" t="str">
            <v>Colliers pvc</v>
          </cell>
          <cell r="D744" t="str">
            <v>COLLIER DE FIXATION DIAM 100 AVEC PATTE A VIS 7 X 40 A VISSER GRIS</v>
          </cell>
        </row>
        <row r="745">
          <cell r="A745" t="str">
            <v>MCBE0108</v>
          </cell>
          <cell r="B745" t="str">
            <v>Evacuation des eaux pluviales</v>
          </cell>
          <cell r="C745" t="str">
            <v>Colliers pvc</v>
          </cell>
          <cell r="D745" t="str">
            <v>COLLIER DE FIXATION DIAM 100 AVEC PATTE A VIS 7 X 40 A VISSER GRIS</v>
          </cell>
        </row>
        <row r="746">
          <cell r="A746" t="str">
            <v>MCBE0108</v>
          </cell>
          <cell r="B746" t="str">
            <v>Evacuation des eaux pluviales</v>
          </cell>
          <cell r="C746" t="str">
            <v>Colliers pvc</v>
          </cell>
          <cell r="D746" t="str">
            <v>COLLIER DE FIXATION DIAM 100 AVEC PATTE A VIS 7 X 40 A VISSER GRIS</v>
          </cell>
        </row>
        <row r="747">
          <cell r="A747" t="str">
            <v>MCBE0108</v>
          </cell>
          <cell r="B747" t="str">
            <v>Evacuation des eaux pluviales</v>
          </cell>
          <cell r="C747" t="str">
            <v>Colliers pvc</v>
          </cell>
          <cell r="D747" t="str">
            <v>COLLIER DE FIXATION DIAM 100 AVEC PATTE A VIS 7 X 40 A VISSER GRIS</v>
          </cell>
        </row>
        <row r="748">
          <cell r="A748" t="str">
            <v>MCBE0108</v>
          </cell>
          <cell r="B748" t="str">
            <v>Evacuation des eaux pluviales</v>
          </cell>
          <cell r="C748" t="str">
            <v>Colliers pvc</v>
          </cell>
          <cell r="D748" t="str">
            <v>COLLIER DE FIXATION DIAM 100 AVEC PATTE A VIS 7 X 40 A VISSER GRIS</v>
          </cell>
        </row>
        <row r="749">
          <cell r="A749" t="str">
            <v>MCBE0108</v>
          </cell>
          <cell r="B749" t="str">
            <v>Evacuation des eaux pluviales</v>
          </cell>
          <cell r="C749" t="str">
            <v>Colliers pvc</v>
          </cell>
          <cell r="D749" t="str">
            <v>COLLIER DE FIXATION DIAM 100 AVEC PATTE A VIS 7 X 40 A VISSER GRIS</v>
          </cell>
        </row>
        <row r="750">
          <cell r="A750" t="str">
            <v>MCBE0109</v>
          </cell>
          <cell r="B750" t="str">
            <v>Evacuation des eaux pluviales</v>
          </cell>
          <cell r="C750" t="str">
            <v>Colliers pvc</v>
          </cell>
          <cell r="D750" t="str">
            <v>COLLIER DE FIXATION DIAM 100 AVEC PATTE A VIS 7 X 40 A VISSER NOIR</v>
          </cell>
        </row>
        <row r="751">
          <cell r="A751" t="str">
            <v>MCBE0109</v>
          </cell>
          <cell r="B751" t="str">
            <v>Evacuation des eaux pluviales</v>
          </cell>
          <cell r="C751" t="str">
            <v>Colliers pvc</v>
          </cell>
          <cell r="D751" t="str">
            <v>COLLIER DE FIXATION DIAM 100 AVEC PATTE A VIS 7 X 40 A VISSER NOIR</v>
          </cell>
        </row>
        <row r="752">
          <cell r="A752" t="str">
            <v>MCBE0109</v>
          </cell>
          <cell r="B752" t="str">
            <v>Evacuation des eaux pluviales</v>
          </cell>
          <cell r="C752" t="str">
            <v>Colliers pvc</v>
          </cell>
          <cell r="D752" t="str">
            <v>COLLIER DE FIXATION DIAM 100 AVEC PATTE A VIS 7 X 40 A VISSER NOIR</v>
          </cell>
        </row>
        <row r="753">
          <cell r="A753" t="str">
            <v>MCBE0109</v>
          </cell>
          <cell r="B753" t="str">
            <v>Evacuation des eaux pluviales</v>
          </cell>
          <cell r="C753" t="str">
            <v>Colliers pvc</v>
          </cell>
          <cell r="D753" t="str">
            <v>COLLIER DE FIXATION DIAM 100 AVEC PATTE A VIS 7 X 40 A VISSER NOIR</v>
          </cell>
        </row>
        <row r="754">
          <cell r="A754" t="str">
            <v>MCBE0109</v>
          </cell>
          <cell r="B754" t="str">
            <v>Evacuation des eaux pluviales</v>
          </cell>
          <cell r="C754" t="str">
            <v>Colliers pvc</v>
          </cell>
          <cell r="D754" t="str">
            <v>COLLIER DE FIXATION DIAM 100 AVEC PATTE A VIS 7 X 40 A VISSER NOIR</v>
          </cell>
        </row>
        <row r="755">
          <cell r="A755" t="str">
            <v>MCBE0109</v>
          </cell>
          <cell r="B755" t="str">
            <v>Evacuation des eaux pluviales</v>
          </cell>
          <cell r="C755" t="str">
            <v>Colliers pvc</v>
          </cell>
          <cell r="D755" t="str">
            <v>COLLIER DE FIXATION DIAM 100 AVEC PATTE A VIS 7 X 40 A VISSER NOIR</v>
          </cell>
        </row>
        <row r="756">
          <cell r="A756" t="str">
            <v>MCBE0110</v>
          </cell>
          <cell r="B756" t="str">
            <v>Evacuation des eaux pluviales</v>
          </cell>
          <cell r="C756" t="str">
            <v>Colliers pvc</v>
          </cell>
          <cell r="D756" t="str">
            <v>COLLIER DE FIXATION DIAM 100 AVEC PATTE A VIS 7 X 40 A VISSER SABLE</v>
          </cell>
        </row>
        <row r="757">
          <cell r="A757" t="str">
            <v>MCBE0110</v>
          </cell>
          <cell r="B757" t="str">
            <v>Evacuation des eaux pluviales</v>
          </cell>
          <cell r="C757" t="str">
            <v>Colliers pvc</v>
          </cell>
          <cell r="D757" t="str">
            <v>COLLIER DE FIXATION DIAM 100 AVEC PATTE A VIS 7 X 40 A VISSER SABLE</v>
          </cell>
        </row>
        <row r="758">
          <cell r="A758" t="str">
            <v>MCBE0110</v>
          </cell>
          <cell r="B758" t="str">
            <v>Evacuation des eaux pluviales</v>
          </cell>
          <cell r="C758" t="str">
            <v>Colliers pvc</v>
          </cell>
          <cell r="D758" t="str">
            <v>COLLIER DE FIXATION DIAM 100 AVEC PATTE A VIS 7 X 40 A VISSER SABLE</v>
          </cell>
        </row>
        <row r="759">
          <cell r="A759" t="str">
            <v>MCBE0110</v>
          </cell>
          <cell r="B759" t="str">
            <v>Evacuation des eaux pluviales</v>
          </cell>
          <cell r="C759" t="str">
            <v>Colliers pvc</v>
          </cell>
          <cell r="D759" t="str">
            <v>COLLIER DE FIXATION DIAM 100 AVEC PATTE A VIS 7 X 40 A VISSER SABLE</v>
          </cell>
        </row>
        <row r="760">
          <cell r="A760" t="str">
            <v>MCBE0110</v>
          </cell>
          <cell r="B760" t="str">
            <v>Evacuation des eaux pluviales</v>
          </cell>
          <cell r="C760" t="str">
            <v>Colliers pvc</v>
          </cell>
          <cell r="D760" t="str">
            <v>COLLIER DE FIXATION DIAM 100 AVEC PATTE A VIS 7 X 40 A VISSER SABLE</v>
          </cell>
        </row>
        <row r="761">
          <cell r="A761" t="str">
            <v>MCBE0110</v>
          </cell>
          <cell r="B761" t="str">
            <v>Evacuation des eaux pluviales</v>
          </cell>
          <cell r="C761" t="str">
            <v>Colliers pvc</v>
          </cell>
          <cell r="D761" t="str">
            <v>COLLIER DE FIXATION DIAM 100 AVEC PATTE A VIS 7 X 40 A VISSER SABLE</v>
          </cell>
        </row>
        <row r="762">
          <cell r="A762" t="str">
            <v>MCBE0111</v>
          </cell>
          <cell r="B762" t="str">
            <v>Evacuation des eaux pluviales</v>
          </cell>
          <cell r="C762" t="str">
            <v>Colliers pvc</v>
          </cell>
          <cell r="D762" t="str">
            <v>COLLIER DE FIXATION DIAM 100 AVEC PATTE A VIS 7 X 40 A VISSER SABLE</v>
          </cell>
        </row>
        <row r="763">
          <cell r="A763" t="str">
            <v>MCBE0111</v>
          </cell>
          <cell r="B763" t="str">
            <v>Evacuation des eaux pluviales</v>
          </cell>
          <cell r="C763" t="str">
            <v>Colliers pvc</v>
          </cell>
          <cell r="D763" t="str">
            <v>COLLIER DE FIXATION DIAM 100 AVEC PATTE A VIS 7 X 40 A VISSER SABLE</v>
          </cell>
        </row>
        <row r="764">
          <cell r="A764" t="str">
            <v>MCBE0111</v>
          </cell>
          <cell r="B764" t="str">
            <v>Evacuation des eaux pluviales</v>
          </cell>
          <cell r="C764" t="str">
            <v>Colliers pvc</v>
          </cell>
          <cell r="D764" t="str">
            <v>COLLIER DE FIXATION DIAM 100 AVEC PATTE A VIS 7 X 40 A VISSER SABLE</v>
          </cell>
        </row>
        <row r="765">
          <cell r="A765" t="str">
            <v>MCBE0111</v>
          </cell>
          <cell r="B765" t="str">
            <v>Evacuation des eaux pluviales</v>
          </cell>
          <cell r="C765" t="str">
            <v>Colliers pvc</v>
          </cell>
          <cell r="D765" t="str">
            <v>COLLIER DE FIXATION DIAM 100 AVEC PATTE A VIS 7 X 40 A VISSER SABLE</v>
          </cell>
        </row>
        <row r="766">
          <cell r="A766" t="str">
            <v>MCBE0111</v>
          </cell>
          <cell r="B766" t="str">
            <v>Evacuation des eaux pluviales</v>
          </cell>
          <cell r="C766" t="str">
            <v>Colliers pvc</v>
          </cell>
          <cell r="D766" t="str">
            <v>COLLIER DE FIXATION DIAM 100 AVEC PATTE A VIS 7 X 40 A VISSER SABLE</v>
          </cell>
        </row>
        <row r="767">
          <cell r="A767" t="str">
            <v>MCBE0112</v>
          </cell>
          <cell r="B767" t="str">
            <v>Evacuation des eaux pluviales</v>
          </cell>
          <cell r="C767" t="str">
            <v>Colliers pvc</v>
          </cell>
          <cell r="D767" t="str">
            <v>COLLIER DE FIXATION DIAM 100 AVEC PATTE A VIS 7X40 A VISSER - ANTHRA</v>
          </cell>
        </row>
        <row r="768">
          <cell r="A768" t="str">
            <v>MCBE0112</v>
          </cell>
          <cell r="B768" t="str">
            <v>Evacuation des eaux pluviales</v>
          </cell>
          <cell r="C768" t="str">
            <v>Colliers pvc</v>
          </cell>
          <cell r="D768" t="str">
            <v>COLLIER DE FIXATION DIAM 100 AVEC PATTE A VIS 7X40 A VISSER - ANTHRA</v>
          </cell>
        </row>
        <row r="769">
          <cell r="A769" t="str">
            <v>MCBE0112</v>
          </cell>
          <cell r="B769" t="str">
            <v>Evacuation des eaux pluviales</v>
          </cell>
          <cell r="C769" t="str">
            <v>Colliers pvc</v>
          </cell>
          <cell r="D769" t="str">
            <v>COLLIER DE FIXATION DIAM 100 AVEC PATTE A VIS 7X40 A VISSER - ANTHRA</v>
          </cell>
        </row>
        <row r="770">
          <cell r="A770" t="str">
            <v>MCBE0112</v>
          </cell>
          <cell r="B770" t="str">
            <v>Evacuation des eaux pluviales</v>
          </cell>
          <cell r="C770" t="str">
            <v>Colliers pvc</v>
          </cell>
          <cell r="D770" t="str">
            <v>COLLIER DE FIXATION DIAM 100 AVEC PATTE A VIS 7X40 A VISSER - ANTHRA</v>
          </cell>
        </row>
        <row r="771">
          <cell r="A771" t="str">
            <v>MCBE0112</v>
          </cell>
          <cell r="B771" t="str">
            <v>Evacuation des eaux pluviales</v>
          </cell>
          <cell r="C771" t="str">
            <v>Colliers pvc</v>
          </cell>
          <cell r="D771" t="str">
            <v>COLLIER DE FIXATION DIAM 100 AVEC PATTE A VIS 7X40 A VISSER - ANTHRA</v>
          </cell>
        </row>
        <row r="772">
          <cell r="A772" t="str">
            <v>MCBE0112</v>
          </cell>
          <cell r="B772" t="str">
            <v>Evacuation des eaux pluviales</v>
          </cell>
          <cell r="C772" t="str">
            <v>Colliers pvc</v>
          </cell>
          <cell r="D772" t="str">
            <v>COLLIER DE FIXATION DIAM 100 AVEC PATTE A VIS 7X40 A VISSER - ANTHRA</v>
          </cell>
        </row>
        <row r="773">
          <cell r="A773" t="str">
            <v>MCBE0113</v>
          </cell>
          <cell r="B773" t="str">
            <v>Evacuation des eaux pluviales</v>
          </cell>
          <cell r="C773" t="str">
            <v>Colliers pvc</v>
          </cell>
          <cell r="D773" t="str">
            <v>COLLIER DE FIXATION DIAM 80  AVEC PATTE A VIS 7 X 40 A VISSER GRIS</v>
          </cell>
        </row>
        <row r="774">
          <cell r="A774" t="str">
            <v>MCBE0113</v>
          </cell>
          <cell r="B774" t="str">
            <v>Evacuation des eaux pluviales</v>
          </cell>
          <cell r="C774" t="str">
            <v>Colliers pvc</v>
          </cell>
          <cell r="D774" t="str">
            <v>COLLIER DE FIXATION DIAM 80  AVEC PATTE A VIS 7 X 40 A VISSER GRIS</v>
          </cell>
        </row>
        <row r="775">
          <cell r="A775" t="str">
            <v>MCBE0113</v>
          </cell>
          <cell r="B775" t="str">
            <v>Evacuation des eaux pluviales</v>
          </cell>
          <cell r="C775" t="str">
            <v>Colliers pvc</v>
          </cell>
          <cell r="D775" t="str">
            <v>COLLIER DE FIXATION DIAM 80  AVEC PATTE A VIS 7 X 40 A VISSER GRIS</v>
          </cell>
        </row>
        <row r="776">
          <cell r="A776" t="str">
            <v>MCBE0113</v>
          </cell>
          <cell r="B776" t="str">
            <v>Evacuation des eaux pluviales</v>
          </cell>
          <cell r="C776" t="str">
            <v>Colliers pvc</v>
          </cell>
          <cell r="D776" t="str">
            <v>COLLIER DE FIXATION DIAM 80  AVEC PATTE A VIS 7 X 40 A VISSER GRIS</v>
          </cell>
        </row>
        <row r="777">
          <cell r="A777" t="str">
            <v>MCBE0113</v>
          </cell>
          <cell r="B777" t="str">
            <v>Evacuation des eaux pluviales</v>
          </cell>
          <cell r="C777" t="str">
            <v>Colliers pvc</v>
          </cell>
          <cell r="D777" t="str">
            <v>COLLIER DE FIXATION DIAM 80  AVEC PATTE A VIS 7 X 40 A VISSER GRIS</v>
          </cell>
        </row>
        <row r="778">
          <cell r="A778" t="str">
            <v>MCBE0113</v>
          </cell>
          <cell r="B778" t="str">
            <v>Evacuation des eaux pluviales</v>
          </cell>
          <cell r="C778" t="str">
            <v>Colliers pvc</v>
          </cell>
          <cell r="D778" t="str">
            <v>COLLIER DE FIXATION DIAM 80  AVEC PATTE A VIS 7 X 40 A VISSER GRIS</v>
          </cell>
        </row>
        <row r="779">
          <cell r="A779" t="str">
            <v>MCBE0114</v>
          </cell>
          <cell r="B779" t="str">
            <v>Evacuation des eaux pluviales</v>
          </cell>
          <cell r="C779" t="str">
            <v>Colliers pvc</v>
          </cell>
          <cell r="D779" t="str">
            <v>COLLIER DE FIXATION DIAM 80  AVEC PATTE A VIS 7 X 40 A VISSER NOIR</v>
          </cell>
        </row>
        <row r="780">
          <cell r="A780" t="str">
            <v>MCBE0114</v>
          </cell>
          <cell r="B780" t="str">
            <v>Evacuation des eaux pluviales</v>
          </cell>
          <cell r="C780" t="str">
            <v>Colliers pvc</v>
          </cell>
          <cell r="D780" t="str">
            <v>COLLIER DE FIXATION DIAM 80  AVEC PATTE A VIS 7 X 40 A VISSER NOIR</v>
          </cell>
        </row>
        <row r="781">
          <cell r="A781" t="str">
            <v>MCBE0114</v>
          </cell>
          <cell r="B781" t="str">
            <v>Evacuation des eaux pluviales</v>
          </cell>
          <cell r="C781" t="str">
            <v>Colliers pvc</v>
          </cell>
          <cell r="D781" t="str">
            <v>COLLIER DE FIXATION DIAM 80  AVEC PATTE A VIS 7 X 40 A VISSER NOIR</v>
          </cell>
        </row>
        <row r="782">
          <cell r="A782" t="str">
            <v>MCBE0114</v>
          </cell>
          <cell r="B782" t="str">
            <v>Evacuation des eaux pluviales</v>
          </cell>
          <cell r="C782" t="str">
            <v>Colliers pvc</v>
          </cell>
          <cell r="D782" t="str">
            <v>COLLIER DE FIXATION DIAM 80  AVEC PATTE A VIS 7 X 40 A VISSER NOIR</v>
          </cell>
        </row>
        <row r="783">
          <cell r="A783" t="str">
            <v>MCBE0114</v>
          </cell>
          <cell r="B783" t="str">
            <v>Evacuation des eaux pluviales</v>
          </cell>
          <cell r="C783" t="str">
            <v>Colliers pvc</v>
          </cell>
          <cell r="D783" t="str">
            <v>COLLIER DE FIXATION DIAM 80  AVEC PATTE A VIS 7 X 40 A VISSER NOIR</v>
          </cell>
        </row>
        <row r="784">
          <cell r="A784" t="str">
            <v>MCBE0114</v>
          </cell>
          <cell r="B784" t="str">
            <v>Evacuation des eaux pluviales</v>
          </cell>
          <cell r="C784" t="str">
            <v>Colliers pvc</v>
          </cell>
          <cell r="D784" t="str">
            <v>COLLIER DE FIXATION DIAM 80  AVEC PATTE A VIS 7 X 40 A VISSER NOIR</v>
          </cell>
        </row>
        <row r="785">
          <cell r="A785" t="str">
            <v>MCBE0115</v>
          </cell>
          <cell r="B785" t="str">
            <v>Evacuation des eaux pluviales</v>
          </cell>
          <cell r="C785" t="str">
            <v>Colliers pvc</v>
          </cell>
          <cell r="D785" t="str">
            <v>COLLIER DE FIXATION DIAM 80  AVEC PATTE A VIS 7 X 40 A VISSER SABLE</v>
          </cell>
        </row>
        <row r="786">
          <cell r="A786" t="str">
            <v>MCBE0115</v>
          </cell>
          <cell r="B786" t="str">
            <v>Evacuation des eaux pluviales</v>
          </cell>
          <cell r="C786" t="str">
            <v>Colliers pvc</v>
          </cell>
          <cell r="D786" t="str">
            <v>COLLIER DE FIXATION DIAM 80  AVEC PATTE A VIS 7 X 40 A VISSER SABLE</v>
          </cell>
        </row>
        <row r="787">
          <cell r="A787" t="str">
            <v>MCBE0115</v>
          </cell>
          <cell r="B787" t="str">
            <v>Evacuation des eaux pluviales</v>
          </cell>
          <cell r="C787" t="str">
            <v>Colliers pvc</v>
          </cell>
          <cell r="D787" t="str">
            <v>COLLIER DE FIXATION DIAM 80  AVEC PATTE A VIS 7 X 40 A VISSER SABLE</v>
          </cell>
        </row>
        <row r="788">
          <cell r="A788" t="str">
            <v>MCBE0115</v>
          </cell>
          <cell r="B788" t="str">
            <v>Evacuation des eaux pluviales</v>
          </cell>
          <cell r="C788" t="str">
            <v>Colliers pvc</v>
          </cell>
          <cell r="D788" t="str">
            <v>COLLIER DE FIXATION DIAM 80  AVEC PATTE A VIS 7 X 40 A VISSER SABLE</v>
          </cell>
        </row>
        <row r="789">
          <cell r="A789" t="str">
            <v>MCBE0115</v>
          </cell>
          <cell r="B789" t="str">
            <v>Evacuation des eaux pluviales</v>
          </cell>
          <cell r="C789" t="str">
            <v>Colliers pvc</v>
          </cell>
          <cell r="D789" t="str">
            <v>COLLIER DE FIXATION DIAM 80  AVEC PATTE A VIS 7 X 40 A VISSER SABLE</v>
          </cell>
        </row>
        <row r="790">
          <cell r="A790" t="str">
            <v>MCBE0115</v>
          </cell>
          <cell r="B790" t="str">
            <v>Evacuation des eaux pluviales</v>
          </cell>
          <cell r="C790" t="str">
            <v>Colliers pvc</v>
          </cell>
          <cell r="D790" t="str">
            <v>COLLIER DE FIXATION DIAM 80  AVEC PATTE A VIS 7 X 40 A VISSER SABLE</v>
          </cell>
        </row>
        <row r="791">
          <cell r="A791" t="str">
            <v>MCBE0116</v>
          </cell>
          <cell r="B791" t="str">
            <v>Evacuation des eaux pluviales</v>
          </cell>
          <cell r="C791" t="str">
            <v>Colliers pvc</v>
          </cell>
          <cell r="D791" t="str">
            <v>COLLIER DE FIXATION DIAM 80 AVEC PATTE A VIS 7 X 40 A VISSER ANTHRA</v>
          </cell>
        </row>
        <row r="792">
          <cell r="A792" t="str">
            <v>MCBE0116</v>
          </cell>
          <cell r="B792" t="str">
            <v>Evacuation des eaux pluviales</v>
          </cell>
          <cell r="C792" t="str">
            <v>Colliers pvc</v>
          </cell>
          <cell r="D792" t="str">
            <v>COLLIER DE FIXATION DIAM 80 AVEC PATTE A VIS 7 X 40 A VISSER ANTHRA</v>
          </cell>
        </row>
        <row r="793">
          <cell r="A793" t="str">
            <v>MCBE0116</v>
          </cell>
          <cell r="B793" t="str">
            <v>Evacuation des eaux pluviales</v>
          </cell>
          <cell r="C793" t="str">
            <v>Colliers pvc</v>
          </cell>
          <cell r="D793" t="str">
            <v>COLLIER DE FIXATION DIAM 80 AVEC PATTE A VIS 7 X 40 A VISSER ANTHRA</v>
          </cell>
        </row>
        <row r="794">
          <cell r="A794" t="str">
            <v>MCBE0116</v>
          </cell>
          <cell r="B794" t="str">
            <v>Evacuation des eaux pluviales</v>
          </cell>
          <cell r="C794" t="str">
            <v>Colliers pvc</v>
          </cell>
          <cell r="D794" t="str">
            <v>COLLIER DE FIXATION DIAM 80 AVEC PATTE A VIS 7 X 40 A VISSER ANTHRA</v>
          </cell>
        </row>
        <row r="795">
          <cell r="A795" t="str">
            <v>MCBE0116</v>
          </cell>
          <cell r="B795" t="str">
            <v>Evacuation des eaux pluviales</v>
          </cell>
          <cell r="C795" t="str">
            <v>Colliers pvc</v>
          </cell>
          <cell r="D795" t="str">
            <v>COLLIER DE FIXATION DIAM 80 AVEC PATTE A VIS 7 X 40 A VISSER ANTHRA</v>
          </cell>
        </row>
        <row r="796">
          <cell r="A796" t="str">
            <v>MCBE0116</v>
          </cell>
          <cell r="B796" t="str">
            <v>Evacuation des eaux pluviales</v>
          </cell>
          <cell r="C796" t="str">
            <v>Colliers pvc</v>
          </cell>
          <cell r="D796" t="str">
            <v>COLLIER DE FIXATION DIAM 80 AVEC PATTE A VIS 7 X 40 A VISSER ANTHRA</v>
          </cell>
        </row>
        <row r="797">
          <cell r="A797" t="str">
            <v>MCBE0117</v>
          </cell>
          <cell r="B797" t="str">
            <v>Evacuation des eaux pluviales</v>
          </cell>
          <cell r="C797" t="str">
            <v>Colliers pvc</v>
          </cell>
          <cell r="D797" t="str">
            <v>COLLIER DE FIXATION DIAM 80 AVEC PATTE A VIS 7 X 40 A VISSER BLANC</v>
          </cell>
        </row>
        <row r="798">
          <cell r="A798" t="str">
            <v>MCBE0117</v>
          </cell>
          <cell r="B798" t="str">
            <v>Evacuation des eaux pluviales</v>
          </cell>
          <cell r="C798" t="str">
            <v>Colliers pvc</v>
          </cell>
          <cell r="D798" t="str">
            <v>COLLIER DE FIXATION DIAM 80 AVEC PATTE A VIS 7 X 40 A VISSER BLANC</v>
          </cell>
        </row>
        <row r="799">
          <cell r="A799" t="str">
            <v>MCBE0117</v>
          </cell>
          <cell r="B799" t="str">
            <v>Evacuation des eaux pluviales</v>
          </cell>
          <cell r="C799" t="str">
            <v>Colliers pvc</v>
          </cell>
          <cell r="D799" t="str">
            <v>COLLIER DE FIXATION DIAM 80 AVEC PATTE A VIS 7 X 40 A VISSER BLANC</v>
          </cell>
        </row>
        <row r="800">
          <cell r="A800" t="str">
            <v>MCBE0117</v>
          </cell>
          <cell r="B800" t="str">
            <v>Evacuation des eaux pluviales</v>
          </cell>
          <cell r="C800" t="str">
            <v>Colliers pvc</v>
          </cell>
          <cell r="D800" t="str">
            <v>COLLIER DE FIXATION DIAM 80 AVEC PATTE A VIS 7 X 40 A VISSER BLANC</v>
          </cell>
        </row>
        <row r="801">
          <cell r="A801" t="str">
            <v>MCBE0117</v>
          </cell>
          <cell r="B801" t="str">
            <v>Evacuation des eaux pluviales</v>
          </cell>
          <cell r="C801" t="str">
            <v>Colliers pvc</v>
          </cell>
          <cell r="D801" t="str">
            <v>COLLIER DE FIXATION DIAM 80 AVEC PATTE A VIS 7 X 40 A VISSER BLANC</v>
          </cell>
        </row>
        <row r="802">
          <cell r="A802" t="str">
            <v>MCBE0117</v>
          </cell>
          <cell r="B802" t="str">
            <v>Evacuation des eaux pluviales</v>
          </cell>
          <cell r="C802" t="str">
            <v>Colliers pvc</v>
          </cell>
          <cell r="D802" t="str">
            <v>COLLIER DE FIXATION DIAM 80 AVEC PATTE A VIS 7 X 40 A VISSER BLANC</v>
          </cell>
        </row>
        <row r="803">
          <cell r="A803" t="str">
            <v>MCBE0118</v>
          </cell>
          <cell r="B803" t="str">
            <v>Evacuation des eaux pluviales</v>
          </cell>
          <cell r="C803" t="str">
            <v>Coude Zinc</v>
          </cell>
          <cell r="D803" t="str">
            <v>COUDE CYLINDRIQUE 72° DIAM. 100 ZINC ANTHRA  (PC)</v>
          </cell>
        </row>
        <row r="804">
          <cell r="A804" t="str">
            <v>MCBE0118</v>
          </cell>
          <cell r="B804" t="str">
            <v>Evacuation des eaux pluviales</v>
          </cell>
          <cell r="C804" t="str">
            <v>Coude Zinc</v>
          </cell>
          <cell r="D804" t="str">
            <v>COUDE CYLINDRIQUE 72° DIAM. 100 ZINC ANTHRA  (PC)</v>
          </cell>
        </row>
        <row r="805">
          <cell r="A805" t="str">
            <v>MCBE0118</v>
          </cell>
          <cell r="B805" t="str">
            <v>Evacuation des eaux pluviales</v>
          </cell>
          <cell r="C805" t="str">
            <v>Coude Zinc</v>
          </cell>
          <cell r="D805" t="str">
            <v>COUDE CYLINDRIQUE 72° DIAM. 100 ZINC ANTHRA  (PC)</v>
          </cell>
        </row>
        <row r="806">
          <cell r="A806" t="str">
            <v>MCBE0118</v>
          </cell>
          <cell r="B806" t="str">
            <v>Evacuation des eaux pluviales</v>
          </cell>
          <cell r="C806" t="str">
            <v>Coude Zinc</v>
          </cell>
          <cell r="D806" t="str">
            <v>COUDE CYLINDRIQUE 72° DIAM. 100 ZINC ANTHRA  (PC)</v>
          </cell>
        </row>
        <row r="807">
          <cell r="A807" t="str">
            <v>MCBE0118</v>
          </cell>
          <cell r="B807" t="str">
            <v>Evacuation des eaux pluviales</v>
          </cell>
          <cell r="C807" t="str">
            <v>Coude Zinc</v>
          </cell>
          <cell r="D807" t="str">
            <v>COUDE CYLINDRIQUE 72° DIAM. 100 ZINC ANTHRA  (PC)</v>
          </cell>
        </row>
        <row r="808">
          <cell r="A808" t="str">
            <v>MCBE0118</v>
          </cell>
          <cell r="B808" t="str">
            <v>Evacuation des eaux pluviales</v>
          </cell>
          <cell r="C808" t="str">
            <v>Coude Zinc</v>
          </cell>
          <cell r="D808" t="str">
            <v>COUDE CYLINDRIQUE 72° DIAM. 100 ZINC ANTHRA  (PC)</v>
          </cell>
        </row>
        <row r="809">
          <cell r="A809" t="str">
            <v>MCBE0119</v>
          </cell>
          <cell r="B809" t="str">
            <v>Evacuation des eaux pluviales</v>
          </cell>
          <cell r="C809" t="str">
            <v>Coude Zinc</v>
          </cell>
          <cell r="D809" t="str">
            <v>COUDE CINTRE 72° DIAM. 100 ZINC NATUREL</v>
          </cell>
        </row>
        <row r="810">
          <cell r="A810" t="str">
            <v>MCBE0119</v>
          </cell>
          <cell r="B810" t="str">
            <v>Evacuation des eaux pluviales</v>
          </cell>
          <cell r="C810" t="str">
            <v>Coude Zinc</v>
          </cell>
          <cell r="D810" t="str">
            <v>COUDE CINTRE 72° DIAM. 100 ZINC NATUREL</v>
          </cell>
        </row>
        <row r="811">
          <cell r="A811" t="str">
            <v>MCBE0119</v>
          </cell>
          <cell r="B811" t="str">
            <v>Evacuation des eaux pluviales</v>
          </cell>
          <cell r="C811" t="str">
            <v>Coude Zinc</v>
          </cell>
          <cell r="D811" t="str">
            <v>COUDE CINTRE 72° DIAM. 100 ZINC NATUREL</v>
          </cell>
        </row>
        <row r="812">
          <cell r="A812" t="str">
            <v>MCBE0119</v>
          </cell>
          <cell r="B812" t="str">
            <v>Evacuation des eaux pluviales</v>
          </cell>
          <cell r="C812" t="str">
            <v>Coude Zinc</v>
          </cell>
          <cell r="D812" t="str">
            <v>COUDE CINTRE 72° DIAM. 100 ZINC NATUREL</v>
          </cell>
        </row>
        <row r="813">
          <cell r="A813" t="str">
            <v>MCBE0119</v>
          </cell>
          <cell r="B813" t="str">
            <v>Evacuation des eaux pluviales</v>
          </cell>
          <cell r="C813" t="str">
            <v>Coude Zinc</v>
          </cell>
          <cell r="D813" t="str">
            <v>COUDE CINTRE 72° DIAM. 100 ZINC NATUREL</v>
          </cell>
        </row>
        <row r="814">
          <cell r="A814" t="str">
            <v>MCBE0119</v>
          </cell>
          <cell r="B814" t="str">
            <v>Evacuation des eaux pluviales</v>
          </cell>
          <cell r="C814" t="str">
            <v>Coude Zinc</v>
          </cell>
          <cell r="D814" t="str">
            <v>COUDE CINTRE 72° DIAM. 100 ZINC NATUREL</v>
          </cell>
        </row>
        <row r="815">
          <cell r="A815" t="str">
            <v>MCBE0120</v>
          </cell>
          <cell r="B815" t="str">
            <v>Evacuation des eaux pluviales</v>
          </cell>
          <cell r="C815" t="str">
            <v>Coude Zinc</v>
          </cell>
          <cell r="D815" t="str">
            <v>COUDE CYLINDRIQUE 72° DIAM. 100 ZINC QUARTZ</v>
          </cell>
        </row>
        <row r="816">
          <cell r="A816" t="str">
            <v>MCBE0120</v>
          </cell>
          <cell r="B816" t="str">
            <v>Evacuation des eaux pluviales</v>
          </cell>
          <cell r="C816" t="str">
            <v>Coude Zinc</v>
          </cell>
          <cell r="D816" t="str">
            <v>COUDE CYLINDRIQUE 72° DIAM. 100 ZINC QUARTZ</v>
          </cell>
        </row>
        <row r="817">
          <cell r="A817" t="str">
            <v>MCBE0120</v>
          </cell>
          <cell r="B817" t="str">
            <v>Evacuation des eaux pluviales</v>
          </cell>
          <cell r="C817" t="str">
            <v>Coude Zinc</v>
          </cell>
          <cell r="D817" t="str">
            <v>COUDE CYLINDRIQUE 72° DIAM. 100 ZINC QUARTZ</v>
          </cell>
        </row>
        <row r="818">
          <cell r="A818" t="str">
            <v>MCBE0120</v>
          </cell>
          <cell r="B818" t="str">
            <v>Evacuation des eaux pluviales</v>
          </cell>
          <cell r="C818" t="str">
            <v>Coude Zinc</v>
          </cell>
          <cell r="D818" t="str">
            <v>COUDE CYLINDRIQUE 72° DIAM. 100 ZINC QUARTZ</v>
          </cell>
        </row>
        <row r="819">
          <cell r="A819" t="str">
            <v>MCBE0120</v>
          </cell>
          <cell r="B819" t="str">
            <v>Evacuation des eaux pluviales</v>
          </cell>
          <cell r="C819" t="str">
            <v>Coude Zinc</v>
          </cell>
          <cell r="D819" t="str">
            <v>COUDE CYLINDRIQUE 72° DIAM. 100 ZINC QUARTZ</v>
          </cell>
        </row>
        <row r="820">
          <cell r="A820" t="str">
            <v>MCBE0120</v>
          </cell>
          <cell r="B820" t="str">
            <v>Evacuation des eaux pluviales</v>
          </cell>
          <cell r="C820" t="str">
            <v>Coude Zinc</v>
          </cell>
          <cell r="D820" t="str">
            <v>COUDE CYLINDRIQUE 72° DIAM. 100 ZINC QUARTZ</v>
          </cell>
        </row>
        <row r="821">
          <cell r="A821" t="str">
            <v>MCBE0121</v>
          </cell>
          <cell r="B821" t="str">
            <v>Evacuation des eaux pluviales</v>
          </cell>
          <cell r="C821" t="str">
            <v>Coude Zinc</v>
          </cell>
          <cell r="D821" t="str">
            <v>COUDE DIAM. 120 ZINC NATUREL 72°</v>
          </cell>
        </row>
        <row r="822">
          <cell r="A822" t="str">
            <v>MCBE0121</v>
          </cell>
          <cell r="B822" t="str">
            <v>Evacuation des eaux pluviales</v>
          </cell>
          <cell r="C822" t="str">
            <v>Coude Zinc</v>
          </cell>
          <cell r="D822" t="str">
            <v>COUDE DIAM. 120 ZINC NATUREL 72°</v>
          </cell>
        </row>
        <row r="823">
          <cell r="A823" t="str">
            <v>MCBE0121</v>
          </cell>
          <cell r="B823" t="str">
            <v>Evacuation des eaux pluviales</v>
          </cell>
          <cell r="C823" t="str">
            <v>Coude Zinc</v>
          </cell>
          <cell r="D823" t="str">
            <v>COUDE DIAM. 120 ZINC NATUREL 72°</v>
          </cell>
        </row>
        <row r="824">
          <cell r="A824" t="str">
            <v>MCBE0121</v>
          </cell>
          <cell r="B824" t="str">
            <v>Evacuation des eaux pluviales</v>
          </cell>
          <cell r="C824" t="str">
            <v>Coude Zinc</v>
          </cell>
          <cell r="D824" t="str">
            <v>COUDE DIAM. 120 ZINC NATUREL 72°</v>
          </cell>
        </row>
        <row r="825">
          <cell r="A825" t="str">
            <v>MCBE0122</v>
          </cell>
          <cell r="B825" t="str">
            <v>Evacuation des eaux pluviales</v>
          </cell>
          <cell r="C825" t="str">
            <v>Coude Zinc</v>
          </cell>
          <cell r="D825" t="str">
            <v>COUDE CINTRE 85° DIAM. 80 ZINC ANTHRA (PC)</v>
          </cell>
        </row>
        <row r="826">
          <cell r="A826" t="str">
            <v>MCBE0122</v>
          </cell>
          <cell r="B826" t="str">
            <v>Evacuation des eaux pluviales</v>
          </cell>
          <cell r="C826" t="str">
            <v>Coude Zinc</v>
          </cell>
          <cell r="D826" t="str">
            <v>COUDE CINTRE 85° DIAM. 80 ZINC ANTHRA (PC)</v>
          </cell>
        </row>
        <row r="827">
          <cell r="A827" t="str">
            <v>MCBE0122</v>
          </cell>
          <cell r="B827" t="str">
            <v>Evacuation des eaux pluviales</v>
          </cell>
          <cell r="C827" t="str">
            <v>Coude Zinc</v>
          </cell>
          <cell r="D827" t="str">
            <v>COUDE CINTRE 85° DIAM. 80 ZINC ANTHRA (PC)</v>
          </cell>
        </row>
        <row r="828">
          <cell r="A828" t="str">
            <v>MCBE0122</v>
          </cell>
          <cell r="B828" t="str">
            <v>Evacuation des eaux pluviales</v>
          </cell>
          <cell r="C828" t="str">
            <v>Coude Zinc</v>
          </cell>
          <cell r="D828" t="str">
            <v>COUDE CINTRE 85° DIAM. 80 ZINC ANTHRA (PC)</v>
          </cell>
        </row>
        <row r="829">
          <cell r="A829" t="str">
            <v>MCBE0122</v>
          </cell>
          <cell r="B829" t="str">
            <v>Evacuation des eaux pluviales</v>
          </cell>
          <cell r="C829" t="str">
            <v>Coude Zinc</v>
          </cell>
          <cell r="D829" t="str">
            <v>COUDE CINTRE 85° DIAM. 80 ZINC ANTHRA (PC)</v>
          </cell>
        </row>
        <row r="830">
          <cell r="A830" t="str">
            <v>MCBE0123</v>
          </cell>
          <cell r="B830" t="str">
            <v>Evacuation des eaux pluviales</v>
          </cell>
          <cell r="C830" t="str">
            <v>Coude Zinc</v>
          </cell>
          <cell r="D830" t="str">
            <v>COUDE CINTRE 72° DIAM. 80 ZINC NATUREL</v>
          </cell>
        </row>
        <row r="831">
          <cell r="A831" t="str">
            <v>MCBE0123</v>
          </cell>
          <cell r="B831" t="str">
            <v>Evacuation des eaux pluviales</v>
          </cell>
          <cell r="C831" t="str">
            <v>Coude Zinc</v>
          </cell>
          <cell r="D831" t="str">
            <v>COUDE CINTRE 72° DIAM. 80 ZINC NATUREL</v>
          </cell>
        </row>
        <row r="832">
          <cell r="A832" t="str">
            <v>MCBE0123</v>
          </cell>
          <cell r="B832" t="str">
            <v>Evacuation des eaux pluviales</v>
          </cell>
          <cell r="C832" t="str">
            <v>Coude Zinc</v>
          </cell>
          <cell r="D832" t="str">
            <v>COUDE CINTRE 72° DIAM. 80 ZINC NATUREL</v>
          </cell>
        </row>
        <row r="833">
          <cell r="A833" t="str">
            <v>MCBE0123</v>
          </cell>
          <cell r="B833" t="str">
            <v>Evacuation des eaux pluviales</v>
          </cell>
          <cell r="C833" t="str">
            <v>Coude Zinc</v>
          </cell>
          <cell r="D833" t="str">
            <v>COUDE CINTRE 72° DIAM. 80 ZINC NATUREL</v>
          </cell>
        </row>
        <row r="834">
          <cell r="A834" t="str">
            <v>MCBE0123</v>
          </cell>
          <cell r="B834" t="str">
            <v>Evacuation des eaux pluviales</v>
          </cell>
          <cell r="C834" t="str">
            <v>Coude Zinc</v>
          </cell>
          <cell r="D834" t="str">
            <v>COUDE CINTRE 72° DIAM. 80 ZINC NATUREL</v>
          </cell>
        </row>
        <row r="835">
          <cell r="A835" t="str">
            <v>MCBE0123</v>
          </cell>
          <cell r="B835" t="str">
            <v>Evacuation des eaux pluviales</v>
          </cell>
          <cell r="C835" t="str">
            <v>Coude Zinc</v>
          </cell>
          <cell r="D835" t="str">
            <v>COUDE CINTRE 72° DIAM. 80 ZINC NATUREL</v>
          </cell>
        </row>
        <row r="836">
          <cell r="A836" t="str">
            <v>MCBE0124</v>
          </cell>
          <cell r="B836" t="str">
            <v>Evacuation des eaux pluviales</v>
          </cell>
          <cell r="C836" t="str">
            <v>Coude Zinc</v>
          </cell>
          <cell r="D836" t="str">
            <v>COUDE CINTRE 72° DIAM. 80 ZINC QUARTZ REF 220025758</v>
          </cell>
        </row>
        <row r="837">
          <cell r="A837" t="str">
            <v>MCBE0124</v>
          </cell>
          <cell r="B837" t="str">
            <v>Evacuation des eaux pluviales</v>
          </cell>
          <cell r="C837" t="str">
            <v>Coude Zinc</v>
          </cell>
          <cell r="D837" t="str">
            <v>COUDE CINTRE 72° DIAM. 80 ZINC QUARTZ REF 220025758</v>
          </cell>
        </row>
        <row r="838">
          <cell r="A838" t="str">
            <v>MCBE0124</v>
          </cell>
          <cell r="B838" t="str">
            <v>Evacuation des eaux pluviales</v>
          </cell>
          <cell r="C838" t="str">
            <v>Coude Zinc</v>
          </cell>
          <cell r="D838" t="str">
            <v>COUDE CINTRE 72° DIAM. 80 ZINC QUARTZ REF 220025758</v>
          </cell>
        </row>
        <row r="839">
          <cell r="A839" t="str">
            <v>MCBE0124</v>
          </cell>
          <cell r="B839" t="str">
            <v>Evacuation des eaux pluviales</v>
          </cell>
          <cell r="C839" t="str">
            <v>Coude Zinc</v>
          </cell>
          <cell r="D839" t="str">
            <v>COUDE CINTRE 72° DIAM. 80 ZINC QUARTZ REF 220025758</v>
          </cell>
        </row>
        <row r="840">
          <cell r="A840" t="str">
            <v>MCBE0124</v>
          </cell>
          <cell r="B840" t="str">
            <v>Evacuation des eaux pluviales</v>
          </cell>
          <cell r="C840" t="str">
            <v>Coude Zinc</v>
          </cell>
          <cell r="D840" t="str">
            <v>COUDE CINTRE 72° DIAM. 80 ZINC QUARTZ REF 220025758</v>
          </cell>
        </row>
        <row r="841">
          <cell r="A841" t="str">
            <v>MCBE0125</v>
          </cell>
          <cell r="B841" t="str">
            <v>Evacuation des eaux pluviales</v>
          </cell>
          <cell r="C841" t="str">
            <v>Coude Zinc</v>
          </cell>
          <cell r="D841" t="str">
            <v>COUDE CINTRE 90° DIAM. 100 ZINC NATUREL</v>
          </cell>
        </row>
        <row r="842">
          <cell r="A842" t="str">
            <v>MCBE0125</v>
          </cell>
          <cell r="B842" t="str">
            <v>Evacuation des eaux pluviales</v>
          </cell>
          <cell r="C842" t="str">
            <v>Coude Zinc</v>
          </cell>
          <cell r="D842" t="str">
            <v>COUDE CINTRE 90° DIAM. 100 ZINC NATUREL</v>
          </cell>
        </row>
        <row r="843">
          <cell r="A843" t="str">
            <v>MCBE0125</v>
          </cell>
          <cell r="B843" t="str">
            <v>Evacuation des eaux pluviales</v>
          </cell>
          <cell r="C843" t="str">
            <v>Coude Zinc</v>
          </cell>
          <cell r="D843" t="str">
            <v>COUDE CINTRE 90° DIAM. 100 ZINC NATUREL</v>
          </cell>
        </row>
        <row r="844">
          <cell r="A844" t="str">
            <v>MCBE0125</v>
          </cell>
          <cell r="B844" t="str">
            <v>Evacuation des eaux pluviales</v>
          </cell>
          <cell r="C844" t="str">
            <v>Coude Zinc</v>
          </cell>
          <cell r="D844" t="str">
            <v>COUDE CINTRE 90° DIAM. 100 ZINC NATUREL</v>
          </cell>
        </row>
        <row r="845">
          <cell r="A845" t="str">
            <v>MCBE0125</v>
          </cell>
          <cell r="B845" t="str">
            <v>Evacuation des eaux pluviales</v>
          </cell>
          <cell r="C845" t="str">
            <v>Coude Zinc</v>
          </cell>
          <cell r="D845" t="str">
            <v>COUDE CINTRE 90° DIAM. 100 ZINC NATUREL</v>
          </cell>
        </row>
        <row r="846">
          <cell r="A846" t="str">
            <v>MCBE0125</v>
          </cell>
          <cell r="B846" t="str">
            <v>Evacuation des eaux pluviales</v>
          </cell>
          <cell r="C846" t="str">
            <v>Coude Zinc</v>
          </cell>
          <cell r="D846" t="str">
            <v>COUDE CINTRE 90° DIAM. 100 ZINC NATUREL</v>
          </cell>
        </row>
        <row r="847">
          <cell r="A847" t="str">
            <v>MCBE0126</v>
          </cell>
          <cell r="B847" t="str">
            <v>Evacuation des eaux pluviales</v>
          </cell>
          <cell r="C847" t="str">
            <v>Coude Zinc</v>
          </cell>
          <cell r="D847" t="str">
            <v>COUDE CINTRE 90° DIAM. 120 ZINC NATUREL</v>
          </cell>
        </row>
        <row r="848">
          <cell r="A848" t="str">
            <v>MCBE0126</v>
          </cell>
          <cell r="B848" t="str">
            <v>Evacuation des eaux pluviales</v>
          </cell>
          <cell r="C848" t="str">
            <v>Coude Zinc</v>
          </cell>
          <cell r="D848" t="str">
            <v>COUDE CINTRE 90° DIAM. 120 ZINC NATUREL</v>
          </cell>
        </row>
        <row r="849">
          <cell r="A849" t="str">
            <v>MCBE0126</v>
          </cell>
          <cell r="B849" t="str">
            <v>Evacuation des eaux pluviales</v>
          </cell>
          <cell r="C849" t="str">
            <v>Coude Zinc</v>
          </cell>
          <cell r="D849" t="str">
            <v>COUDE CINTRE 90° DIAM. 120 ZINC NATUREL</v>
          </cell>
        </row>
        <row r="850">
          <cell r="A850" t="str">
            <v>MCBE0126</v>
          </cell>
          <cell r="B850" t="str">
            <v>Evacuation des eaux pluviales</v>
          </cell>
          <cell r="C850" t="str">
            <v>Coude Zinc</v>
          </cell>
          <cell r="D850" t="str">
            <v>COUDE CINTRE 90° DIAM. 120 ZINC NATUREL</v>
          </cell>
        </row>
        <row r="851">
          <cell r="A851" t="str">
            <v>MCBE0126</v>
          </cell>
          <cell r="B851" t="str">
            <v>Evacuation des eaux pluviales</v>
          </cell>
          <cell r="C851" t="str">
            <v>Coude Zinc</v>
          </cell>
          <cell r="D851" t="str">
            <v>COUDE CINTRE 90° DIAM. 120 ZINC NATUREL</v>
          </cell>
        </row>
        <row r="852">
          <cell r="A852" t="str">
            <v>MCBE0126</v>
          </cell>
          <cell r="B852" t="str">
            <v>Evacuation des eaux pluviales</v>
          </cell>
          <cell r="C852" t="str">
            <v>Coude Zinc</v>
          </cell>
          <cell r="D852" t="str">
            <v>COUDE CINTRE 90° DIAM. 120 ZINC NATUREL</v>
          </cell>
        </row>
        <row r="853">
          <cell r="A853" t="str">
            <v>MCBE0127</v>
          </cell>
          <cell r="B853" t="str">
            <v>Evacuation des eaux pluviales</v>
          </cell>
          <cell r="C853" t="str">
            <v>Coude Zinc</v>
          </cell>
          <cell r="D853" t="str">
            <v>COUDE CINTRE 90° DIAM. 120 ZINC QUARTZ</v>
          </cell>
        </row>
        <row r="854">
          <cell r="A854" t="str">
            <v>MCBE0127</v>
          </cell>
          <cell r="B854" t="str">
            <v>Evacuation des eaux pluviales</v>
          </cell>
          <cell r="C854" t="str">
            <v>Coude Zinc</v>
          </cell>
          <cell r="D854" t="str">
            <v>COUDE CINTRE 90° DIAM. 120 ZINC QUARTZ</v>
          </cell>
        </row>
        <row r="855">
          <cell r="A855" t="str">
            <v>MCBE0127</v>
          </cell>
          <cell r="B855" t="str">
            <v>Evacuation des eaux pluviales</v>
          </cell>
          <cell r="C855" t="str">
            <v>Coude Zinc</v>
          </cell>
          <cell r="D855" t="str">
            <v>COUDE CINTRE 90° DIAM. 120 ZINC QUARTZ</v>
          </cell>
        </row>
        <row r="856">
          <cell r="A856" t="str">
            <v>MCBE0127</v>
          </cell>
          <cell r="B856" t="str">
            <v>Evacuation des eaux pluviales</v>
          </cell>
          <cell r="C856" t="str">
            <v>Coude Zinc</v>
          </cell>
          <cell r="D856" t="str">
            <v>COUDE CINTRE 90° DIAM. 120 ZINC QUARTZ</v>
          </cell>
        </row>
        <row r="857">
          <cell r="A857" t="str">
            <v>MCBE0127</v>
          </cell>
          <cell r="B857" t="str">
            <v>Evacuation des eaux pluviales</v>
          </cell>
          <cell r="C857" t="str">
            <v>Coude Zinc</v>
          </cell>
          <cell r="D857" t="str">
            <v>COUDE CINTRE 90° DIAM. 120 ZINC QUARTZ</v>
          </cell>
        </row>
        <row r="858">
          <cell r="A858" t="str">
            <v>MCBE0127</v>
          </cell>
          <cell r="B858" t="str">
            <v>Evacuation des eaux pluviales</v>
          </cell>
          <cell r="C858" t="str">
            <v>Coude Zinc</v>
          </cell>
          <cell r="D858" t="str">
            <v>COUDE CINTRE 90° DIAM. 120 ZINC QUARTZ</v>
          </cell>
        </row>
        <row r="859">
          <cell r="A859" t="str">
            <v>MCBE0128</v>
          </cell>
          <cell r="B859" t="str">
            <v>Evacuation des eaux pluviales</v>
          </cell>
          <cell r="C859" t="str">
            <v>Coude Zinc</v>
          </cell>
          <cell r="D859" t="str">
            <v>COUDE CINTRE 90° DIAM. 140 ZINC NATUREL</v>
          </cell>
        </row>
        <row r="860">
          <cell r="A860" t="str">
            <v>MCBE0128</v>
          </cell>
          <cell r="B860" t="str">
            <v>Evacuation des eaux pluviales</v>
          </cell>
          <cell r="C860" t="str">
            <v>Coude Zinc</v>
          </cell>
          <cell r="D860" t="str">
            <v>COUDE CINTRE 90° DIAM. 140 ZINC NATUREL</v>
          </cell>
        </row>
        <row r="861">
          <cell r="A861" t="str">
            <v>MCBE0128</v>
          </cell>
          <cell r="B861" t="str">
            <v>Evacuation des eaux pluviales</v>
          </cell>
          <cell r="C861" t="str">
            <v>Coude Zinc</v>
          </cell>
          <cell r="D861" t="str">
            <v>COUDE CINTRE 90° DIAM. 140 ZINC NATUREL</v>
          </cell>
        </row>
        <row r="862">
          <cell r="A862" t="str">
            <v>MCBE0128</v>
          </cell>
          <cell r="B862" t="str">
            <v>Evacuation des eaux pluviales</v>
          </cell>
          <cell r="C862" t="str">
            <v>Coude Zinc</v>
          </cell>
          <cell r="D862" t="str">
            <v>COUDE CINTRE 90° DIAM. 140 ZINC NATUREL</v>
          </cell>
        </row>
        <row r="863">
          <cell r="A863" t="str">
            <v>MCBE0128</v>
          </cell>
          <cell r="B863" t="str">
            <v>Evacuation des eaux pluviales</v>
          </cell>
          <cell r="C863" t="str">
            <v>Coude Zinc</v>
          </cell>
          <cell r="D863" t="str">
            <v>COUDE CINTRE 90° DIAM. 140 ZINC NATUREL</v>
          </cell>
        </row>
        <row r="864">
          <cell r="A864" t="str">
            <v>MCBE0128</v>
          </cell>
          <cell r="B864" t="str">
            <v>Evacuation des eaux pluviales</v>
          </cell>
          <cell r="C864" t="str">
            <v>Coude Zinc</v>
          </cell>
          <cell r="D864" t="str">
            <v>COUDE CINTRE 90° DIAM. 140 ZINC NATUREL</v>
          </cell>
        </row>
        <row r="865">
          <cell r="A865" t="str">
            <v>MCBE0129</v>
          </cell>
          <cell r="B865" t="str">
            <v>Evacuation des eaux pluviales</v>
          </cell>
          <cell r="C865" t="str">
            <v>Coude Zinc</v>
          </cell>
          <cell r="D865" t="str">
            <v>COUDE CINTRE 90° DIAM. 160 ZINC NATUREL</v>
          </cell>
        </row>
        <row r="866">
          <cell r="A866" t="str">
            <v>MCBE0129</v>
          </cell>
          <cell r="B866" t="str">
            <v>Evacuation des eaux pluviales</v>
          </cell>
          <cell r="C866" t="str">
            <v>Coude Zinc</v>
          </cell>
          <cell r="D866" t="str">
            <v>COUDE CINTRE 90° DIAM. 160 ZINC NATUREL</v>
          </cell>
        </row>
        <row r="867">
          <cell r="A867" t="str">
            <v>MCBE0129</v>
          </cell>
          <cell r="B867" t="str">
            <v>Evacuation des eaux pluviales</v>
          </cell>
          <cell r="C867" t="str">
            <v>Coude Zinc</v>
          </cell>
          <cell r="D867" t="str">
            <v>COUDE CINTRE 90° DIAM. 160 ZINC NATUREL</v>
          </cell>
        </row>
        <row r="868">
          <cell r="A868" t="str">
            <v>MCBE0129</v>
          </cell>
          <cell r="B868" t="str">
            <v>Evacuation des eaux pluviales</v>
          </cell>
          <cell r="C868" t="str">
            <v>Coude Zinc</v>
          </cell>
          <cell r="D868" t="str">
            <v>COUDE CINTRE 90° DIAM. 160 ZINC NATUREL</v>
          </cell>
        </row>
        <row r="869">
          <cell r="A869" t="str">
            <v>MCBE0129</v>
          </cell>
          <cell r="B869" t="str">
            <v>Evacuation des eaux pluviales</v>
          </cell>
          <cell r="C869" t="str">
            <v>Coude Zinc</v>
          </cell>
          <cell r="D869" t="str">
            <v>COUDE CINTRE 90° DIAM. 160 ZINC NATUREL</v>
          </cell>
        </row>
        <row r="870">
          <cell r="A870" t="str">
            <v>MCBE0129</v>
          </cell>
          <cell r="B870" t="str">
            <v>Evacuation des eaux pluviales</v>
          </cell>
          <cell r="C870" t="str">
            <v>Coude Zinc</v>
          </cell>
          <cell r="D870" t="str">
            <v>COUDE CINTRE 90° DIAM. 160 ZINC NATUREL</v>
          </cell>
        </row>
        <row r="871">
          <cell r="A871" t="str">
            <v>MCBE0130</v>
          </cell>
          <cell r="B871" t="str">
            <v>Evacuation des eaux pluviales</v>
          </cell>
          <cell r="C871" t="str">
            <v>Coude Zinc</v>
          </cell>
          <cell r="D871" t="str">
            <v>COUDE CINTRE 90° DIAM. 60 ZINC NATUREL</v>
          </cell>
        </row>
        <row r="872">
          <cell r="A872" t="str">
            <v>MCBE0130</v>
          </cell>
          <cell r="B872" t="str">
            <v>Evacuation des eaux pluviales</v>
          </cell>
          <cell r="C872" t="str">
            <v>Coude Zinc</v>
          </cell>
          <cell r="D872" t="str">
            <v>COUDE CINTRE 90° DIAM. 60 ZINC NATUREL</v>
          </cell>
        </row>
        <row r="873">
          <cell r="A873" t="str">
            <v>MCBE0130</v>
          </cell>
          <cell r="B873" t="str">
            <v>Evacuation des eaux pluviales</v>
          </cell>
          <cell r="C873" t="str">
            <v>Coude Zinc</v>
          </cell>
          <cell r="D873" t="str">
            <v>COUDE CINTRE 90° DIAM. 60 ZINC NATUREL</v>
          </cell>
        </row>
        <row r="874">
          <cell r="A874" t="str">
            <v>MCBE0130</v>
          </cell>
          <cell r="B874" t="str">
            <v>Evacuation des eaux pluviales</v>
          </cell>
          <cell r="C874" t="str">
            <v>Coude Zinc</v>
          </cell>
          <cell r="D874" t="str">
            <v>COUDE CINTRE 90° DIAM. 60 ZINC NATUREL</v>
          </cell>
        </row>
        <row r="875">
          <cell r="A875" t="str">
            <v>MCBE0130</v>
          </cell>
          <cell r="B875" t="str">
            <v>Evacuation des eaux pluviales</v>
          </cell>
          <cell r="C875" t="str">
            <v>Coude Zinc</v>
          </cell>
          <cell r="D875" t="str">
            <v>COUDE CINTRE 90° DIAM. 60 ZINC NATUREL</v>
          </cell>
        </row>
        <row r="876">
          <cell r="A876" t="str">
            <v>MCBE0130</v>
          </cell>
          <cell r="B876" t="str">
            <v>Evacuation des eaux pluviales</v>
          </cell>
          <cell r="C876" t="str">
            <v>Coude Zinc</v>
          </cell>
          <cell r="D876" t="str">
            <v>COUDE CINTRE 90° DIAM. 60 ZINC NATUREL</v>
          </cell>
        </row>
        <row r="877">
          <cell r="A877" t="str">
            <v>MCBE0131</v>
          </cell>
          <cell r="B877" t="str">
            <v>Evacuation des eaux pluviales</v>
          </cell>
          <cell r="C877" t="str">
            <v>Coude Zinc</v>
          </cell>
          <cell r="D877" t="str">
            <v>COUDE CINTRE 90° DIAM. 80 ZINC ANTHRA</v>
          </cell>
        </row>
        <row r="878">
          <cell r="A878" t="str">
            <v>MCBE0131</v>
          </cell>
          <cell r="B878" t="str">
            <v>Evacuation des eaux pluviales</v>
          </cell>
          <cell r="C878" t="str">
            <v>Coude Zinc</v>
          </cell>
          <cell r="D878" t="str">
            <v>COUDE CINTRE 90° DIAM. 80 ZINC ANTHRA</v>
          </cell>
        </row>
        <row r="879">
          <cell r="A879" t="str">
            <v>MCBE0131</v>
          </cell>
          <cell r="B879" t="str">
            <v>Evacuation des eaux pluviales</v>
          </cell>
          <cell r="C879" t="str">
            <v>Coude Zinc</v>
          </cell>
          <cell r="D879" t="str">
            <v>COUDE CINTRE 90° DIAM. 80 ZINC ANTHRA</v>
          </cell>
        </row>
        <row r="880">
          <cell r="A880" t="str">
            <v>MCBE0131</v>
          </cell>
          <cell r="B880" t="str">
            <v>Evacuation des eaux pluviales</v>
          </cell>
          <cell r="C880" t="str">
            <v>Coude Zinc</v>
          </cell>
          <cell r="D880" t="str">
            <v>COUDE CINTRE 90° DIAM. 80 ZINC ANTHRA</v>
          </cell>
        </row>
        <row r="881">
          <cell r="A881" t="str">
            <v>MCBE0131</v>
          </cell>
          <cell r="B881" t="str">
            <v>Evacuation des eaux pluviales</v>
          </cell>
          <cell r="C881" t="str">
            <v>Coude Zinc</v>
          </cell>
          <cell r="D881" t="str">
            <v>COUDE CINTRE 90° DIAM. 80 ZINC ANTHRA</v>
          </cell>
        </row>
        <row r="882">
          <cell r="A882" t="str">
            <v>MCBE0131</v>
          </cell>
          <cell r="B882" t="str">
            <v>Evacuation des eaux pluviales</v>
          </cell>
          <cell r="C882" t="str">
            <v>Coude Zinc</v>
          </cell>
          <cell r="D882" t="str">
            <v>COUDE CINTRE 90° DIAM. 80 ZINC ANTHRA</v>
          </cell>
        </row>
        <row r="883">
          <cell r="A883" t="str">
            <v>MCBE0132</v>
          </cell>
          <cell r="B883" t="str">
            <v>Evacuation des eaux pluviales</v>
          </cell>
          <cell r="C883" t="str">
            <v>Coude Zinc</v>
          </cell>
          <cell r="D883" t="str">
            <v>COUDE CINTRE 90° DIAM. 80 ZINC NATUREL</v>
          </cell>
        </row>
        <row r="884">
          <cell r="A884" t="str">
            <v>MCBE0132</v>
          </cell>
          <cell r="B884" t="str">
            <v>Evacuation des eaux pluviales</v>
          </cell>
          <cell r="C884" t="str">
            <v>Coude Zinc</v>
          </cell>
          <cell r="D884" t="str">
            <v>COUDE CINTRE 90° DIAM. 80 ZINC NATUREL</v>
          </cell>
        </row>
        <row r="885">
          <cell r="A885" t="str">
            <v>MCBE0132</v>
          </cell>
          <cell r="B885" t="str">
            <v>Evacuation des eaux pluviales</v>
          </cell>
          <cell r="C885" t="str">
            <v>Coude Zinc</v>
          </cell>
          <cell r="D885" t="str">
            <v>COUDE CINTRE 90° DIAM. 80 ZINC NATUREL</v>
          </cell>
        </row>
        <row r="886">
          <cell r="A886" t="str">
            <v>MCBE0132</v>
          </cell>
          <cell r="B886" t="str">
            <v>Evacuation des eaux pluviales</v>
          </cell>
          <cell r="C886" t="str">
            <v>Coude Zinc</v>
          </cell>
          <cell r="D886" t="str">
            <v>COUDE CINTRE 90° DIAM. 80 ZINC NATUREL</v>
          </cell>
        </row>
        <row r="887">
          <cell r="A887" t="str">
            <v>MCBE0132</v>
          </cell>
          <cell r="B887" t="str">
            <v>Evacuation des eaux pluviales</v>
          </cell>
          <cell r="C887" t="str">
            <v>Coude Zinc</v>
          </cell>
          <cell r="D887" t="str">
            <v>COUDE CINTRE 90° DIAM. 80 ZINC NATUREL</v>
          </cell>
        </row>
        <row r="888">
          <cell r="A888" t="str">
            <v>MCBE0132</v>
          </cell>
          <cell r="B888" t="str">
            <v>Evacuation des eaux pluviales</v>
          </cell>
          <cell r="C888" t="str">
            <v>Coude Zinc</v>
          </cell>
          <cell r="D888" t="str">
            <v>COUDE CINTRE 90° DIAM. 80 ZINC NATUREL</v>
          </cell>
        </row>
        <row r="889">
          <cell r="A889" t="str">
            <v>MCBE0133</v>
          </cell>
          <cell r="B889" t="str">
            <v>Evacuation des eaux pluviales</v>
          </cell>
          <cell r="C889" t="str">
            <v>Coude PVC</v>
          </cell>
          <cell r="D889" t="str">
            <v>COUD FF 45° D100 UCT44</v>
          </cell>
        </row>
        <row r="890">
          <cell r="A890" t="str">
            <v>MCBE0133</v>
          </cell>
          <cell r="B890" t="str">
            <v>Evacuation des eaux pluviales</v>
          </cell>
          <cell r="C890" t="str">
            <v>Coude PVC</v>
          </cell>
          <cell r="D890" t="str">
            <v>COUD FF 45° D100 UCT44</v>
          </cell>
        </row>
        <row r="891">
          <cell r="A891" t="str">
            <v>MCBE0133</v>
          </cell>
          <cell r="B891" t="str">
            <v>Evacuation des eaux pluviales</v>
          </cell>
          <cell r="C891" t="str">
            <v>Coude PVC</v>
          </cell>
          <cell r="D891" t="str">
            <v>COUD FF 45° D100 UCT44</v>
          </cell>
        </row>
        <row r="892">
          <cell r="A892" t="str">
            <v>MCBE0133</v>
          </cell>
          <cell r="B892" t="str">
            <v>Evacuation des eaux pluviales</v>
          </cell>
          <cell r="C892" t="str">
            <v>Coude PVC</v>
          </cell>
          <cell r="D892" t="str">
            <v>COUD FF 45° D100 UCT44</v>
          </cell>
        </row>
        <row r="893">
          <cell r="A893" t="str">
            <v>MCBE0134</v>
          </cell>
          <cell r="B893" t="str">
            <v>Evacuation des eaux pluviales</v>
          </cell>
          <cell r="C893" t="str">
            <v>Coude PVC</v>
          </cell>
          <cell r="D893" t="str">
            <v>COUDE 100 MM 45° M/F M.E.P GRIS</v>
          </cell>
        </row>
        <row r="894">
          <cell r="A894" t="str">
            <v>MCBE0134</v>
          </cell>
          <cell r="B894" t="str">
            <v>Evacuation des eaux pluviales</v>
          </cell>
          <cell r="C894" t="str">
            <v>Coude PVC</v>
          </cell>
          <cell r="D894" t="str">
            <v>COUDE 100 MM 45° M/F M.E.P GRIS</v>
          </cell>
        </row>
        <row r="895">
          <cell r="A895" t="str">
            <v>MCBE0134</v>
          </cell>
          <cell r="B895" t="str">
            <v>Evacuation des eaux pluviales</v>
          </cell>
          <cell r="C895" t="str">
            <v>Coude PVC</v>
          </cell>
          <cell r="D895" t="str">
            <v>COUDE 100 MM 45° M/F M.E.P GRIS</v>
          </cell>
        </row>
        <row r="896">
          <cell r="A896" t="str">
            <v>MCBE0134</v>
          </cell>
          <cell r="B896" t="str">
            <v>Evacuation des eaux pluviales</v>
          </cell>
          <cell r="C896" t="str">
            <v>Coude PVC</v>
          </cell>
          <cell r="D896" t="str">
            <v>COUDE 100 MM 45° M/F M.E.P GRIS</v>
          </cell>
        </row>
        <row r="897">
          <cell r="A897" t="str">
            <v>MCBE0134</v>
          </cell>
          <cell r="B897" t="str">
            <v>Evacuation des eaux pluviales</v>
          </cell>
          <cell r="C897" t="str">
            <v>Coude PVC</v>
          </cell>
          <cell r="D897" t="str">
            <v>COUDE 100 MM 45° M/F M.E.P GRIS</v>
          </cell>
        </row>
        <row r="898">
          <cell r="A898" t="str">
            <v>MCBE0134</v>
          </cell>
          <cell r="B898" t="str">
            <v>Evacuation des eaux pluviales</v>
          </cell>
          <cell r="C898" t="str">
            <v>Coude PVC</v>
          </cell>
          <cell r="D898" t="str">
            <v>COUDE 100 MM 45° M/F M.E.P GRIS</v>
          </cell>
        </row>
        <row r="899">
          <cell r="A899" t="str">
            <v>MCBE0135</v>
          </cell>
          <cell r="B899" t="str">
            <v>Evacuation des eaux pluviales</v>
          </cell>
          <cell r="C899" t="str">
            <v>Coude PVC</v>
          </cell>
          <cell r="D899" t="str">
            <v>COUDE 80 MM M/F 67° M.E.P SABLE</v>
          </cell>
        </row>
        <row r="900">
          <cell r="A900" t="str">
            <v>MCBE0135</v>
          </cell>
          <cell r="B900" t="str">
            <v>Evacuation des eaux pluviales</v>
          </cell>
          <cell r="C900" t="str">
            <v>Coude PVC</v>
          </cell>
          <cell r="D900" t="str">
            <v>COUDE 80 MM M/F 67° M.E.P SABLE</v>
          </cell>
        </row>
        <row r="901">
          <cell r="A901" t="str">
            <v>MCBE0135</v>
          </cell>
          <cell r="B901" t="str">
            <v>Evacuation des eaux pluviales</v>
          </cell>
          <cell r="C901" t="str">
            <v>Coude PVC</v>
          </cell>
          <cell r="D901" t="str">
            <v>COUDE 80 MM M/F 67° M.E.P SABLE</v>
          </cell>
        </row>
        <row r="902">
          <cell r="A902" t="str">
            <v>MCBE0135</v>
          </cell>
          <cell r="B902" t="str">
            <v>Evacuation des eaux pluviales</v>
          </cell>
          <cell r="C902" t="str">
            <v>Coude PVC</v>
          </cell>
          <cell r="D902" t="str">
            <v>COUDE 80 MM M/F 67° M.E.P SABLE</v>
          </cell>
        </row>
        <row r="903">
          <cell r="A903" t="str">
            <v>MCBE0135</v>
          </cell>
          <cell r="B903" t="str">
            <v>Evacuation des eaux pluviales</v>
          </cell>
          <cell r="C903" t="str">
            <v>Coude PVC</v>
          </cell>
          <cell r="D903" t="str">
            <v>COUDE 80 MM M/F 67° M.E.P SABLE</v>
          </cell>
        </row>
        <row r="904">
          <cell r="A904" t="str">
            <v>MCBE0135</v>
          </cell>
          <cell r="B904" t="str">
            <v>Evacuation des eaux pluviales</v>
          </cell>
          <cell r="C904" t="str">
            <v>Coude PVC</v>
          </cell>
          <cell r="D904" t="str">
            <v>COUDE 80 MM M/F 67° M.E.P SABLE</v>
          </cell>
        </row>
        <row r="905">
          <cell r="A905" t="str">
            <v>MCBE0136</v>
          </cell>
          <cell r="B905" t="str">
            <v>Evacuation des eaux pluviales</v>
          </cell>
          <cell r="C905" t="str">
            <v>CROCHETS GOUTTIERES ACIER GALVA</v>
          </cell>
          <cell r="D905" t="str">
            <v>SPRINT PINCE (CROCHET DEMI-LUNE+FIXATION) 25 BOUDIN DE 14 GALVA</v>
          </cell>
        </row>
        <row r="906">
          <cell r="A906" t="str">
            <v>MCBE0136</v>
          </cell>
          <cell r="B906" t="str">
            <v>Evacuation des eaux pluviales</v>
          </cell>
          <cell r="C906" t="str">
            <v>CROCHETS GOUTTIERES ACIER GALVA</v>
          </cell>
          <cell r="D906" t="str">
            <v>SPRINT PINCE (CROCHET DEMI-LUNE+FIXATION) 25 BOUDIN DE 14 GALVA</v>
          </cell>
        </row>
        <row r="907">
          <cell r="A907" t="str">
            <v>MCBE0136</v>
          </cell>
          <cell r="B907" t="str">
            <v>Evacuation des eaux pluviales</v>
          </cell>
          <cell r="C907" t="str">
            <v>CROCHETS GOUTTIERES ACIER GALVA</v>
          </cell>
          <cell r="D907" t="str">
            <v>SPRINT PINCE (CROCHET DEMI-LUNE+FIXATION) 25 BOUDIN DE 14 GALVA</v>
          </cell>
        </row>
        <row r="908">
          <cell r="A908" t="str">
            <v>MCBE0136</v>
          </cell>
          <cell r="B908" t="str">
            <v>Evacuation des eaux pluviales</v>
          </cell>
          <cell r="C908" t="str">
            <v>CROCHETS GOUTTIERES ACIER GALVA</v>
          </cell>
          <cell r="D908" t="str">
            <v>SPRINT PINCE (CROCHET DEMI-LUNE+FIXATION) 25 BOUDIN DE 14 GALVA</v>
          </cell>
        </row>
        <row r="909">
          <cell r="A909" t="str">
            <v>MCBE0136</v>
          </cell>
          <cell r="B909" t="str">
            <v>Evacuation des eaux pluviales</v>
          </cell>
          <cell r="C909" t="str">
            <v>CROCHETS GOUTTIERES ACIER GALVA</v>
          </cell>
          <cell r="D909" t="str">
            <v>SPRINT PINCE (CROCHET DEMI-LUNE+FIXATION) 25 BOUDIN DE 14 GALVA</v>
          </cell>
        </row>
        <row r="910">
          <cell r="A910" t="str">
            <v>MCBE0136</v>
          </cell>
          <cell r="B910" t="str">
            <v>Evacuation des eaux pluviales</v>
          </cell>
          <cell r="C910" t="str">
            <v>CROCHETS GOUTTIERES ACIER GALVA</v>
          </cell>
          <cell r="D910" t="str">
            <v>SPRINT PINCE (CROCHET DEMI-LUNE+FIXATION) 25 BOUDIN DE 14 GALVA</v>
          </cell>
        </row>
        <row r="911">
          <cell r="A911" t="str">
            <v>MCBE0137</v>
          </cell>
          <cell r="B911" t="str">
            <v>Evacuation des eaux pluviales</v>
          </cell>
          <cell r="C911" t="str">
            <v>CROCHETS GOUTTIERES ACIER GALVA</v>
          </cell>
          <cell r="D911" t="str">
            <v>SPRINT PINCE (CROCHET DEMI-LUNE+FIXA) 33 BOUDIN DE 14 GALVA (2006FP33</v>
          </cell>
        </row>
        <row r="912">
          <cell r="A912" t="str">
            <v>MCBE0137</v>
          </cell>
          <cell r="B912" t="str">
            <v>Evacuation des eaux pluviales</v>
          </cell>
          <cell r="C912" t="str">
            <v>CROCHETS GOUTTIERES ACIER GALVA</v>
          </cell>
          <cell r="D912" t="str">
            <v>SPRINT PINCE (CROCHET DEMI-LUNE+FIXA) 33 BOUDIN DE 14 GALVA (2006FP33</v>
          </cell>
        </row>
        <row r="913">
          <cell r="A913" t="str">
            <v>MCBE0137</v>
          </cell>
          <cell r="B913" t="str">
            <v>Evacuation des eaux pluviales</v>
          </cell>
          <cell r="C913" t="str">
            <v>CROCHETS GOUTTIERES ACIER GALVA</v>
          </cell>
          <cell r="D913" t="str">
            <v>SPRINT PINCE (CROCHET DEMI-LUNE+FIXA) 33 BOUDIN DE 14 GALVA (2006FP33</v>
          </cell>
        </row>
        <row r="914">
          <cell r="A914" t="str">
            <v>MCBE0137</v>
          </cell>
          <cell r="B914" t="str">
            <v>Evacuation des eaux pluviales</v>
          </cell>
          <cell r="C914" t="str">
            <v>CROCHETS GOUTTIERES ACIER GALVA</v>
          </cell>
          <cell r="D914" t="str">
            <v>SPRINT PINCE (CROCHET DEMI-LUNE+FIXA) 33 BOUDIN DE 14 GALVA (2006FP33</v>
          </cell>
        </row>
        <row r="915">
          <cell r="A915" t="str">
            <v>MCBE0137</v>
          </cell>
          <cell r="B915" t="str">
            <v>Evacuation des eaux pluviales</v>
          </cell>
          <cell r="C915" t="str">
            <v>CROCHETS GOUTTIERES ACIER GALVA</v>
          </cell>
          <cell r="D915" t="str">
            <v>SPRINT PINCE (CROCHET DEMI-LUNE+FIXA) 33 BOUDIN DE 14 GALVA (2006FP33</v>
          </cell>
        </row>
        <row r="916">
          <cell r="A916" t="str">
            <v>MCBE0137</v>
          </cell>
          <cell r="B916" t="str">
            <v>Evacuation des eaux pluviales</v>
          </cell>
          <cell r="C916" t="str">
            <v>CROCHETS GOUTTIERES ACIER GALVA</v>
          </cell>
          <cell r="D916" t="str">
            <v>SPRINT PINCE (CROCHET DEMI-LUNE+FIXA) 33 BOUDIN DE 14 GALVA (2006FP33</v>
          </cell>
        </row>
        <row r="917">
          <cell r="A917" t="str">
            <v>MCBE0138</v>
          </cell>
          <cell r="B917" t="str">
            <v>Evacuation des eaux pluviales</v>
          </cell>
          <cell r="C917" t="str">
            <v>CROCHETS GOUTTIERES ACIER GALVA</v>
          </cell>
          <cell r="D917" t="str">
            <v>CROCHET CARRE 33  PREGALVA (K37-330)</v>
          </cell>
        </row>
        <row r="918">
          <cell r="A918" t="str">
            <v>MCBE0138</v>
          </cell>
          <cell r="B918" t="str">
            <v>Evacuation des eaux pluviales</v>
          </cell>
          <cell r="C918" t="str">
            <v>CROCHETS GOUTTIERES ACIER GALVA</v>
          </cell>
          <cell r="D918" t="str">
            <v>CROCHET CARRE 33  PREGALVA (K37-330)</v>
          </cell>
        </row>
        <row r="919">
          <cell r="A919" t="str">
            <v>MCBE0138</v>
          </cell>
          <cell r="B919" t="str">
            <v>Evacuation des eaux pluviales</v>
          </cell>
          <cell r="C919" t="str">
            <v>CROCHETS GOUTTIERES ACIER GALVA</v>
          </cell>
          <cell r="D919" t="str">
            <v>CROCHET CARRE 33  PREGALVA (K37-330)</v>
          </cell>
        </row>
        <row r="920">
          <cell r="A920" t="str">
            <v>MCBE0138</v>
          </cell>
          <cell r="B920" t="str">
            <v>Evacuation des eaux pluviales</v>
          </cell>
          <cell r="C920" t="str">
            <v>CROCHETS GOUTTIERES ACIER GALVA</v>
          </cell>
          <cell r="D920" t="str">
            <v>CROCHET CARRE 33  PREGALVA (K37-330)</v>
          </cell>
        </row>
        <row r="921">
          <cell r="A921" t="str">
            <v>MCBE0138</v>
          </cell>
          <cell r="B921" t="str">
            <v>Evacuation des eaux pluviales</v>
          </cell>
          <cell r="C921" t="str">
            <v>CROCHETS GOUTTIERES ACIER GALVA</v>
          </cell>
          <cell r="D921" t="str">
            <v>CROCHET CARRE 33  PREGALVA (K37-330)</v>
          </cell>
        </row>
        <row r="922">
          <cell r="A922" t="str">
            <v>MCBE0138</v>
          </cell>
          <cell r="B922" t="str">
            <v>Evacuation des eaux pluviales</v>
          </cell>
          <cell r="C922" t="str">
            <v>CROCHETS GOUTTIERES ACIER GALVA</v>
          </cell>
          <cell r="D922" t="str">
            <v>CROCHET CARRE 33  PREGALVA (K37-330)</v>
          </cell>
        </row>
        <row r="923">
          <cell r="A923" t="str">
            <v>MCBE0139</v>
          </cell>
          <cell r="B923" t="str">
            <v>Evacuation des eaux pluviales</v>
          </cell>
          <cell r="C923" t="str">
            <v>CROCHETS GOUTTIERES ACIER GALVA</v>
          </cell>
          <cell r="D923" t="str">
            <v>CROCHET CARRE 33  T. ARDOISE (K37-330A)</v>
          </cell>
        </row>
        <row r="924">
          <cell r="A924" t="str">
            <v>MCBE0139</v>
          </cell>
          <cell r="B924" t="str">
            <v>Evacuation des eaux pluviales</v>
          </cell>
          <cell r="C924" t="str">
            <v>CROCHETS GOUTTIERES ACIER GALVA</v>
          </cell>
          <cell r="D924" t="str">
            <v>CROCHET CARRE 33  T. ARDOISE (K37-330A)</v>
          </cell>
        </row>
        <row r="925">
          <cell r="A925" t="str">
            <v>MCBE0139</v>
          </cell>
          <cell r="B925" t="str">
            <v>Evacuation des eaux pluviales</v>
          </cell>
          <cell r="C925" t="str">
            <v>CROCHETS GOUTTIERES ACIER GALVA</v>
          </cell>
          <cell r="D925" t="str">
            <v>CROCHET CARRE 33  T. ARDOISE (K37-330A)</v>
          </cell>
        </row>
        <row r="926">
          <cell r="A926" t="str">
            <v>MCBE0139</v>
          </cell>
          <cell r="B926" t="str">
            <v>Evacuation des eaux pluviales</v>
          </cell>
          <cell r="C926" t="str">
            <v>CROCHETS GOUTTIERES ACIER GALVA</v>
          </cell>
          <cell r="D926" t="str">
            <v>CROCHET CARRE 33  T. ARDOISE (K37-330A)</v>
          </cell>
        </row>
        <row r="927">
          <cell r="A927" t="str">
            <v>MCBE0139</v>
          </cell>
          <cell r="B927" t="str">
            <v>Evacuation des eaux pluviales</v>
          </cell>
          <cell r="C927" t="str">
            <v>CROCHETS GOUTTIERES ACIER GALVA</v>
          </cell>
          <cell r="D927" t="str">
            <v>CROCHET CARRE 33  T. ARDOISE (K37-330A)</v>
          </cell>
        </row>
        <row r="928">
          <cell r="A928" t="str">
            <v>MCBE0139</v>
          </cell>
          <cell r="B928" t="str">
            <v>Evacuation des eaux pluviales</v>
          </cell>
          <cell r="C928" t="str">
            <v>CROCHETS GOUTTIERES ACIER GALVA</v>
          </cell>
          <cell r="D928" t="str">
            <v>CROCHET CARRE 33  T. ARDOISE (K37-330A)</v>
          </cell>
        </row>
        <row r="929">
          <cell r="A929" t="str">
            <v>MCBE0140</v>
          </cell>
          <cell r="B929" t="str">
            <v>Evacuation des eaux pluviales</v>
          </cell>
          <cell r="C929" t="str">
            <v>CROCHETS GOUTTIERES ACIER GALVA</v>
          </cell>
          <cell r="D929" t="str">
            <v>CROCHET CARRE 33  T. QUARTZ (K37-300Q)</v>
          </cell>
        </row>
        <row r="930">
          <cell r="A930" t="str">
            <v>MCBE0140</v>
          </cell>
          <cell r="B930" t="str">
            <v>Evacuation des eaux pluviales</v>
          </cell>
          <cell r="C930" t="str">
            <v>CROCHETS GOUTTIERES ACIER GALVA</v>
          </cell>
          <cell r="D930" t="str">
            <v>CROCHET CARRE 33  T. QUARTZ (K37-300Q)</v>
          </cell>
        </row>
        <row r="931">
          <cell r="A931" t="str">
            <v>MCBE0140</v>
          </cell>
          <cell r="B931" t="str">
            <v>Evacuation des eaux pluviales</v>
          </cell>
          <cell r="C931" t="str">
            <v>CROCHETS GOUTTIERES ACIER GALVA</v>
          </cell>
          <cell r="D931" t="str">
            <v>CROCHET CARRE 33  T. QUARTZ (K37-300Q)</v>
          </cell>
        </row>
        <row r="932">
          <cell r="A932" t="str">
            <v>MCBE0140</v>
          </cell>
          <cell r="B932" t="str">
            <v>Evacuation des eaux pluviales</v>
          </cell>
          <cell r="C932" t="str">
            <v>CROCHETS GOUTTIERES ACIER GALVA</v>
          </cell>
          <cell r="D932" t="str">
            <v>CROCHET CARRE 33  T. QUARTZ (K37-300Q)</v>
          </cell>
        </row>
        <row r="933">
          <cell r="A933" t="str">
            <v>MCBE0140</v>
          </cell>
          <cell r="B933" t="str">
            <v>Evacuation des eaux pluviales</v>
          </cell>
          <cell r="C933" t="str">
            <v>CROCHETS GOUTTIERES ACIER GALVA</v>
          </cell>
          <cell r="D933" t="str">
            <v>CROCHET CARRE 33  T. QUARTZ (K37-300Q)</v>
          </cell>
        </row>
        <row r="934">
          <cell r="A934" t="str">
            <v>MCBE0140</v>
          </cell>
          <cell r="B934" t="str">
            <v>Evacuation des eaux pluviales</v>
          </cell>
          <cell r="C934" t="str">
            <v>CROCHETS GOUTTIERES ACIER GALVA</v>
          </cell>
          <cell r="D934" t="str">
            <v>CROCHET CARRE 33  T. QUARTZ (K37-300Q)</v>
          </cell>
        </row>
        <row r="935">
          <cell r="A935" t="str">
            <v>MCBE0141</v>
          </cell>
          <cell r="B935" t="str">
            <v>Evacuation des eaux pluviales</v>
          </cell>
          <cell r="C935" t="str">
            <v>CROCHETS GOUTTIERES ACIER GALVA</v>
          </cell>
          <cell r="D935" t="str">
            <v>CROCHET CARRE 40  PREGALVA (K37-400)</v>
          </cell>
        </row>
        <row r="936">
          <cell r="A936" t="str">
            <v>MCBE0141</v>
          </cell>
          <cell r="B936" t="str">
            <v>Evacuation des eaux pluviales</v>
          </cell>
          <cell r="C936" t="str">
            <v>CROCHETS GOUTTIERES ACIER GALVA</v>
          </cell>
          <cell r="D936" t="str">
            <v>CROCHET CARRE 40  PREGALVA (K37-400)</v>
          </cell>
        </row>
        <row r="937">
          <cell r="A937" t="str">
            <v>MCBE0141</v>
          </cell>
          <cell r="B937" t="str">
            <v>Evacuation des eaux pluviales</v>
          </cell>
          <cell r="C937" t="str">
            <v>CROCHETS GOUTTIERES ACIER GALVA</v>
          </cell>
          <cell r="D937" t="str">
            <v>CROCHET CARRE 40  PREGALVA (K37-400)</v>
          </cell>
        </row>
        <row r="938">
          <cell r="A938" t="str">
            <v>MCBE0141</v>
          </cell>
          <cell r="B938" t="str">
            <v>Evacuation des eaux pluviales</v>
          </cell>
          <cell r="C938" t="str">
            <v>CROCHETS GOUTTIERES ACIER GALVA</v>
          </cell>
          <cell r="D938" t="str">
            <v>CROCHET CARRE 40  PREGALVA (K37-400)</v>
          </cell>
        </row>
        <row r="939">
          <cell r="A939" t="str">
            <v>MCBE0141</v>
          </cell>
          <cell r="B939" t="str">
            <v>Evacuation des eaux pluviales</v>
          </cell>
          <cell r="C939" t="str">
            <v>CROCHETS GOUTTIERES ACIER GALVA</v>
          </cell>
          <cell r="D939" t="str">
            <v>CROCHET CARRE 40  PREGALVA (K37-400)</v>
          </cell>
        </row>
        <row r="940">
          <cell r="A940" t="str">
            <v>MCBE0141</v>
          </cell>
          <cell r="B940" t="str">
            <v>Evacuation des eaux pluviales</v>
          </cell>
          <cell r="C940" t="str">
            <v>CROCHETS GOUTTIERES ACIER GALVA</v>
          </cell>
          <cell r="D940" t="str">
            <v>CROCHET CARRE 40  PREGALVA (K37-400)</v>
          </cell>
        </row>
        <row r="941">
          <cell r="A941" t="str">
            <v>MCBE0142</v>
          </cell>
          <cell r="B941" t="str">
            <v>Evacuation des eaux pluviales</v>
          </cell>
          <cell r="C941" t="str">
            <v>CROCHETS GOUTTIERES ACIER GALVA</v>
          </cell>
          <cell r="D941" t="str">
            <v>CROCHET CARRE 40  T. ARDOISE (KE37-400A)</v>
          </cell>
        </row>
        <row r="942">
          <cell r="A942" t="str">
            <v>MCBE0142</v>
          </cell>
          <cell r="B942" t="str">
            <v>Evacuation des eaux pluviales</v>
          </cell>
          <cell r="C942" t="str">
            <v>CROCHETS GOUTTIERES ACIER GALVA</v>
          </cell>
          <cell r="D942" t="str">
            <v>CROCHET CARRE 40  T. ARDOISE (KE37-400A)</v>
          </cell>
        </row>
        <row r="943">
          <cell r="A943" t="str">
            <v>MCBE0142</v>
          </cell>
          <cell r="B943" t="str">
            <v>Evacuation des eaux pluviales</v>
          </cell>
          <cell r="C943" t="str">
            <v>CROCHETS GOUTTIERES ACIER GALVA</v>
          </cell>
          <cell r="D943" t="str">
            <v>CROCHET CARRE 40  T. ARDOISE (KE37-400A)</v>
          </cell>
        </row>
        <row r="944">
          <cell r="A944" t="str">
            <v>MCBE0142</v>
          </cell>
          <cell r="B944" t="str">
            <v>Evacuation des eaux pluviales</v>
          </cell>
          <cell r="C944" t="str">
            <v>CROCHETS GOUTTIERES ACIER GALVA</v>
          </cell>
          <cell r="D944" t="str">
            <v>CROCHET CARRE 40  T. ARDOISE (KE37-400A)</v>
          </cell>
        </row>
        <row r="945">
          <cell r="A945" t="str">
            <v>MCBE0142</v>
          </cell>
          <cell r="B945" t="str">
            <v>Evacuation des eaux pluviales</v>
          </cell>
          <cell r="C945" t="str">
            <v>CROCHETS GOUTTIERES ACIER GALVA</v>
          </cell>
          <cell r="D945" t="str">
            <v>CROCHET CARRE 40  T. ARDOISE (KE37-400A)</v>
          </cell>
        </row>
        <row r="946">
          <cell r="A946" t="str">
            <v>MCBE0142</v>
          </cell>
          <cell r="B946" t="str">
            <v>Evacuation des eaux pluviales</v>
          </cell>
          <cell r="C946" t="str">
            <v>CROCHETS GOUTTIERES ACIER GALVA</v>
          </cell>
          <cell r="D946" t="str">
            <v>CROCHET CARRE 40  T. ARDOISE (KE37-400A)</v>
          </cell>
        </row>
        <row r="947">
          <cell r="A947" t="str">
            <v>MCBE0143</v>
          </cell>
          <cell r="B947" t="str">
            <v>Evacuation des eaux pluviales</v>
          </cell>
          <cell r="C947" t="str">
            <v>CROCHETS GOUTTIERES ACIER GALVA</v>
          </cell>
          <cell r="D947" t="str">
            <v>CROCHET CARRE   40  T . QUARTZ (K37-400Q)</v>
          </cell>
        </row>
        <row r="948">
          <cell r="A948" t="str">
            <v>MCBE0143</v>
          </cell>
          <cell r="B948" t="str">
            <v>Evacuation des eaux pluviales</v>
          </cell>
          <cell r="C948" t="str">
            <v>CROCHETS GOUTTIERES ACIER GALVA</v>
          </cell>
          <cell r="D948" t="str">
            <v>CROCHET CARRE   40  T . QUARTZ (K37-400Q)</v>
          </cell>
        </row>
        <row r="949">
          <cell r="A949" t="str">
            <v>MCBE0143</v>
          </cell>
          <cell r="B949" t="str">
            <v>Evacuation des eaux pluviales</v>
          </cell>
          <cell r="C949" t="str">
            <v>CROCHETS GOUTTIERES ACIER GALVA</v>
          </cell>
          <cell r="D949" t="str">
            <v>CROCHET CARRE   40  T . QUARTZ (K37-400Q)</v>
          </cell>
        </row>
        <row r="950">
          <cell r="A950" t="str">
            <v>MCBE0143</v>
          </cell>
          <cell r="B950" t="str">
            <v>Evacuation des eaux pluviales</v>
          </cell>
          <cell r="C950" t="str">
            <v>CROCHETS GOUTTIERES ACIER GALVA</v>
          </cell>
          <cell r="D950" t="str">
            <v>CROCHET CARRE   40  T . QUARTZ (K37-400Q)</v>
          </cell>
        </row>
        <row r="951">
          <cell r="A951" t="str">
            <v>MCBE0143</v>
          </cell>
          <cell r="B951" t="str">
            <v>Evacuation des eaux pluviales</v>
          </cell>
          <cell r="C951" t="str">
            <v>CROCHETS GOUTTIERES ACIER GALVA</v>
          </cell>
          <cell r="D951" t="str">
            <v>CROCHET CARRE   40  T . QUARTZ (K37-400Q)</v>
          </cell>
        </row>
        <row r="952">
          <cell r="A952" t="str">
            <v>MCBE0144</v>
          </cell>
          <cell r="B952" t="str">
            <v>Evacuation des eaux pluviales</v>
          </cell>
          <cell r="C952" t="str">
            <v>CROCHETS GOUTTIERES ACIER GALVA</v>
          </cell>
          <cell r="D952" t="str">
            <v>Crochet bandeau prégalva  dev 33</v>
          </cell>
        </row>
        <row r="953">
          <cell r="A953" t="str">
            <v>MCBE0144</v>
          </cell>
          <cell r="B953" t="str">
            <v>Evacuation des eaux pluviales</v>
          </cell>
          <cell r="C953" t="str">
            <v>CROCHETS GOUTTIERES ACIER GALVA</v>
          </cell>
          <cell r="D953" t="str">
            <v>Crochet bandeau prégalva  dev 33</v>
          </cell>
        </row>
        <row r="954">
          <cell r="A954" t="str">
            <v>MCBE0144</v>
          </cell>
          <cell r="B954" t="str">
            <v>Evacuation des eaux pluviales</v>
          </cell>
          <cell r="C954" t="str">
            <v>CROCHETS GOUTTIERES ACIER GALVA</v>
          </cell>
          <cell r="D954" t="str">
            <v>Crochet bandeau prégalva  dev 33</v>
          </cell>
        </row>
        <row r="955">
          <cell r="A955" t="str">
            <v>MCBE0144</v>
          </cell>
          <cell r="B955" t="str">
            <v>Evacuation des eaux pluviales</v>
          </cell>
          <cell r="C955" t="str">
            <v>CROCHETS GOUTTIERES ACIER GALVA</v>
          </cell>
          <cell r="D955" t="str">
            <v>Crochet bandeau prégalva  dev 33</v>
          </cell>
        </row>
        <row r="956">
          <cell r="A956" t="str">
            <v>MCBE0145</v>
          </cell>
          <cell r="B956" t="str">
            <v>Evacuation des eaux pluviales</v>
          </cell>
          <cell r="C956" t="str">
            <v>CROCHETS GOUTTIERES ACIER GALVA</v>
          </cell>
          <cell r="D956" t="str">
            <v>CROCHET EMBOUTI - ACIER GALVANISE - DEV.25</v>
          </cell>
        </row>
        <row r="957">
          <cell r="A957" t="str">
            <v>MCBE0145</v>
          </cell>
          <cell r="B957" t="str">
            <v>Evacuation des eaux pluviales</v>
          </cell>
          <cell r="C957" t="str">
            <v>CROCHETS GOUTTIERES ACIER GALVA</v>
          </cell>
          <cell r="D957" t="str">
            <v>CROCHET EMBOUTI - ACIER GALVANISE - DEV.25</v>
          </cell>
        </row>
        <row r="958">
          <cell r="A958" t="str">
            <v>MCBE0145</v>
          </cell>
          <cell r="B958" t="str">
            <v>Evacuation des eaux pluviales</v>
          </cell>
          <cell r="C958" t="str">
            <v>CROCHETS GOUTTIERES ACIER GALVA</v>
          </cell>
          <cell r="D958" t="str">
            <v>CROCHET EMBOUTI - ACIER GALVANISE - DEV.25</v>
          </cell>
        </row>
        <row r="959">
          <cell r="A959" t="str">
            <v>MCBE0145</v>
          </cell>
          <cell r="B959" t="str">
            <v>Evacuation des eaux pluviales</v>
          </cell>
          <cell r="C959" t="str">
            <v>CROCHETS GOUTTIERES ACIER GALVA</v>
          </cell>
          <cell r="D959" t="str">
            <v>CROCHET EMBOUTI - ACIER GALVANISE - DEV.25</v>
          </cell>
        </row>
        <row r="960">
          <cell r="A960" t="str">
            <v>MCBE0146</v>
          </cell>
          <cell r="B960" t="str">
            <v>Evacuation des eaux pluviales</v>
          </cell>
          <cell r="C960" t="str">
            <v>CROCHETS GOUTTIERES ACIER GALVA</v>
          </cell>
          <cell r="D960" t="str">
            <v>CROCHET EMBOUTI 25 BOUDIN DE 14  PREGALVA (CBI25-N)</v>
          </cell>
        </row>
        <row r="961">
          <cell r="A961" t="str">
            <v>MCBE0146</v>
          </cell>
          <cell r="B961" t="str">
            <v>Evacuation des eaux pluviales</v>
          </cell>
          <cell r="C961" t="str">
            <v>CROCHETS GOUTTIERES ACIER GALVA</v>
          </cell>
          <cell r="D961" t="str">
            <v>CROCHET EMBOUTI 25 BOUDIN DE 14  PREGALVA (CBI25-N)</v>
          </cell>
        </row>
        <row r="962">
          <cell r="A962" t="str">
            <v>MCBE0146</v>
          </cell>
          <cell r="B962" t="str">
            <v>Evacuation des eaux pluviales</v>
          </cell>
          <cell r="C962" t="str">
            <v>CROCHETS GOUTTIERES ACIER GALVA</v>
          </cell>
          <cell r="D962" t="str">
            <v>CROCHET EMBOUTI 25 BOUDIN DE 14  PREGALVA (CBI25-N)</v>
          </cell>
        </row>
        <row r="963">
          <cell r="A963" t="str">
            <v>MCBE0146</v>
          </cell>
          <cell r="B963" t="str">
            <v>Evacuation des eaux pluviales</v>
          </cell>
          <cell r="C963" t="str">
            <v>CROCHETS GOUTTIERES ACIER GALVA</v>
          </cell>
          <cell r="D963" t="str">
            <v>CROCHET EMBOUTI 25 BOUDIN DE 14  PREGALVA (CBI25-N)</v>
          </cell>
        </row>
        <row r="964">
          <cell r="A964" t="str">
            <v>MCBE0146</v>
          </cell>
          <cell r="B964" t="str">
            <v>Evacuation des eaux pluviales</v>
          </cell>
          <cell r="C964" t="str">
            <v>CROCHETS GOUTTIERES ACIER GALVA</v>
          </cell>
          <cell r="D964" t="str">
            <v>CROCHET EMBOUTI 25 BOUDIN DE 14  PREGALVA (CBI25-N)</v>
          </cell>
        </row>
        <row r="965">
          <cell r="A965" t="str">
            <v>MCBE0147</v>
          </cell>
          <cell r="B965" t="str">
            <v>Evacuation des eaux pluviales</v>
          </cell>
          <cell r="C965" t="str">
            <v>CROCHETS GOUTTIERES ACIER GALVA</v>
          </cell>
          <cell r="D965" t="str">
            <v>CROCHET EMBOUTI 25 BOUDIN DE 14 T. ARDOISE (CBI25-NA)</v>
          </cell>
        </row>
        <row r="966">
          <cell r="A966" t="str">
            <v>MCBE0147</v>
          </cell>
          <cell r="B966" t="str">
            <v>Evacuation des eaux pluviales</v>
          </cell>
          <cell r="C966" t="str">
            <v>CROCHETS GOUTTIERES ACIER GALVA</v>
          </cell>
          <cell r="D966" t="str">
            <v>CROCHET EMBOUTI 25 BOUDIN DE 14 T. ARDOISE (CBI25-NA)</v>
          </cell>
        </row>
        <row r="967">
          <cell r="A967" t="str">
            <v>MCBE0147</v>
          </cell>
          <cell r="B967" t="str">
            <v>Evacuation des eaux pluviales</v>
          </cell>
          <cell r="C967" t="str">
            <v>CROCHETS GOUTTIERES ACIER GALVA</v>
          </cell>
          <cell r="D967" t="str">
            <v>CROCHET EMBOUTI 25 BOUDIN DE 14 T. ARDOISE (CBI25-NA)</v>
          </cell>
        </row>
        <row r="968">
          <cell r="A968" t="str">
            <v>MCBE0147</v>
          </cell>
          <cell r="B968" t="str">
            <v>Evacuation des eaux pluviales</v>
          </cell>
          <cell r="C968" t="str">
            <v>CROCHETS GOUTTIERES ACIER GALVA</v>
          </cell>
          <cell r="D968" t="str">
            <v>CROCHET EMBOUTI 25 BOUDIN DE 14 T. ARDOISE (CBI25-NA)</v>
          </cell>
        </row>
        <row r="969">
          <cell r="A969" t="str">
            <v>MCBE0147</v>
          </cell>
          <cell r="B969" t="str">
            <v>Evacuation des eaux pluviales</v>
          </cell>
          <cell r="C969" t="str">
            <v>CROCHETS GOUTTIERES ACIER GALVA</v>
          </cell>
          <cell r="D969" t="str">
            <v>CROCHET EMBOUTI 25 BOUDIN DE 14 T. ARDOISE (CBI25-NA)</v>
          </cell>
        </row>
        <row r="970">
          <cell r="A970" t="str">
            <v>MCBE0148</v>
          </cell>
          <cell r="B970" t="str">
            <v>Evacuation des eaux pluviales</v>
          </cell>
          <cell r="C970" t="str">
            <v>CROCHETS GOUTTIERES ACIER GALVA</v>
          </cell>
          <cell r="D970" t="str">
            <v>CROCHET EMBOUTI 25 BOUDIN DE 14 T. QUARTZ (CBI25NQ)</v>
          </cell>
        </row>
        <row r="971">
          <cell r="A971" t="str">
            <v>MCBE0148</v>
          </cell>
          <cell r="B971" t="str">
            <v>Evacuation des eaux pluviales</v>
          </cell>
          <cell r="C971" t="str">
            <v>CROCHETS GOUTTIERES ACIER GALVA</v>
          </cell>
          <cell r="D971" t="str">
            <v>CROCHET EMBOUTI 25 BOUDIN DE 14 T. QUARTZ (CBI25NQ)</v>
          </cell>
        </row>
        <row r="972">
          <cell r="A972" t="str">
            <v>MCBE0148</v>
          </cell>
          <cell r="B972" t="str">
            <v>Evacuation des eaux pluviales</v>
          </cell>
          <cell r="C972" t="str">
            <v>CROCHETS GOUTTIERES ACIER GALVA</v>
          </cell>
          <cell r="D972" t="str">
            <v>CROCHET EMBOUTI 25 BOUDIN DE 14 T. QUARTZ (CBI25NQ)</v>
          </cell>
        </row>
        <row r="973">
          <cell r="A973" t="str">
            <v>MCBE0148</v>
          </cell>
          <cell r="B973" t="str">
            <v>Evacuation des eaux pluviales</v>
          </cell>
          <cell r="C973" t="str">
            <v>CROCHETS GOUTTIERES ACIER GALVA</v>
          </cell>
          <cell r="D973" t="str">
            <v>CROCHET EMBOUTI 25 BOUDIN DE 14 T. QUARTZ (CBI25NQ)</v>
          </cell>
        </row>
        <row r="974">
          <cell r="A974" t="str">
            <v>MCBE0148</v>
          </cell>
          <cell r="B974" t="str">
            <v>Evacuation des eaux pluviales</v>
          </cell>
          <cell r="C974" t="str">
            <v>CROCHETS GOUTTIERES ACIER GALVA</v>
          </cell>
          <cell r="D974" t="str">
            <v>CROCHET EMBOUTI 25 BOUDIN DE 14 T. QUARTZ (CBI25NQ)</v>
          </cell>
        </row>
        <row r="975">
          <cell r="A975" t="str">
            <v>MCBE0149</v>
          </cell>
          <cell r="B975" t="str">
            <v>Evacuation des eaux pluviales</v>
          </cell>
          <cell r="C975" t="str">
            <v>CROCHETS GOUTTIERES ACIER GALVA</v>
          </cell>
          <cell r="D975" t="str">
            <v>CROCHET EMBOUTI - ACIER GALVANISE - DEV.3</v>
          </cell>
        </row>
        <row r="976">
          <cell r="A976" t="str">
            <v>MCBE0149</v>
          </cell>
          <cell r="B976" t="str">
            <v>Evacuation des eaux pluviales</v>
          </cell>
          <cell r="C976" t="str">
            <v>CROCHETS GOUTTIERES ACIER GALVA</v>
          </cell>
          <cell r="D976" t="str">
            <v>CROCHET EMBOUTI - ACIER GALVANISE - DEV.3</v>
          </cell>
        </row>
        <row r="977">
          <cell r="A977" t="str">
            <v>MCBE0149</v>
          </cell>
          <cell r="B977" t="str">
            <v>Evacuation des eaux pluviales</v>
          </cell>
          <cell r="C977" t="str">
            <v>CROCHETS GOUTTIERES ACIER GALVA</v>
          </cell>
          <cell r="D977" t="str">
            <v>CROCHET EMBOUTI - ACIER GALVANISE - DEV.3</v>
          </cell>
        </row>
        <row r="978">
          <cell r="A978" t="str">
            <v>MCBE0149</v>
          </cell>
          <cell r="B978" t="str">
            <v>Evacuation des eaux pluviales</v>
          </cell>
          <cell r="C978" t="str">
            <v>CROCHETS GOUTTIERES ACIER GALVA</v>
          </cell>
          <cell r="D978" t="str">
            <v>CROCHET EMBOUTI - ACIER GALVANISE - DEV.3</v>
          </cell>
        </row>
        <row r="979">
          <cell r="A979" t="str">
            <v>MCBE0150</v>
          </cell>
          <cell r="B979" t="str">
            <v>Evacuation des eaux pluviales</v>
          </cell>
          <cell r="C979" t="str">
            <v>CROCHETS GOUTTIERES ACIER GALVA</v>
          </cell>
          <cell r="D979" t="str">
            <v>CROCHET EMBOUTI 33 BOUDIN DE 14  PREGALVA (CBI33-N)</v>
          </cell>
        </row>
        <row r="980">
          <cell r="A980" t="str">
            <v>MCBE0150</v>
          </cell>
          <cell r="B980" t="str">
            <v>Evacuation des eaux pluviales</v>
          </cell>
          <cell r="C980" t="str">
            <v>CROCHETS GOUTTIERES ACIER GALVA</v>
          </cell>
          <cell r="D980" t="str">
            <v>CROCHET EMBOUTI 33 BOUDIN DE 14  PREGALVA (CBI33-N)</v>
          </cell>
        </row>
        <row r="981">
          <cell r="A981" t="str">
            <v>MCBE0150</v>
          </cell>
          <cell r="B981" t="str">
            <v>Evacuation des eaux pluviales</v>
          </cell>
          <cell r="C981" t="str">
            <v>CROCHETS GOUTTIERES ACIER GALVA</v>
          </cell>
          <cell r="D981" t="str">
            <v>CROCHET EMBOUTI 33 BOUDIN DE 14  PREGALVA (CBI33-N)</v>
          </cell>
        </row>
        <row r="982">
          <cell r="A982" t="str">
            <v>MCBE0150</v>
          </cell>
          <cell r="B982" t="str">
            <v>Evacuation des eaux pluviales</v>
          </cell>
          <cell r="C982" t="str">
            <v>CROCHETS GOUTTIERES ACIER GALVA</v>
          </cell>
          <cell r="D982" t="str">
            <v>CROCHET EMBOUTI 33 BOUDIN DE 14  PREGALVA (CBI33-N)</v>
          </cell>
        </row>
        <row r="983">
          <cell r="A983" t="str">
            <v>MCBE0150</v>
          </cell>
          <cell r="B983" t="str">
            <v>Evacuation des eaux pluviales</v>
          </cell>
          <cell r="C983" t="str">
            <v>CROCHETS GOUTTIERES ACIER GALVA</v>
          </cell>
          <cell r="D983" t="str">
            <v>CROCHET EMBOUTI 33 BOUDIN DE 14  PREGALVA (CBI33-N)</v>
          </cell>
        </row>
        <row r="984">
          <cell r="A984" t="str">
            <v>MCBE0151</v>
          </cell>
          <cell r="B984" t="str">
            <v>Evacuation des eaux pluviales</v>
          </cell>
          <cell r="C984" t="str">
            <v>CROCHETS GOUTTIERES ACIER GALVA</v>
          </cell>
          <cell r="D984" t="str">
            <v>CROCHET EMBOUTI 33 BOUDIN DE 14  QUARTZ (CARTON 100PCS) (PC)</v>
          </cell>
        </row>
        <row r="985">
          <cell r="A985" t="str">
            <v>MCBE0151</v>
          </cell>
          <cell r="B985" t="str">
            <v>Evacuation des eaux pluviales</v>
          </cell>
          <cell r="C985" t="str">
            <v>CROCHETS GOUTTIERES ACIER GALVA</v>
          </cell>
          <cell r="D985" t="str">
            <v>CROCHET EMBOUTI 33 BOUDIN DE 14  QUARTZ (CARTON 100PCS) (PC)</v>
          </cell>
        </row>
        <row r="986">
          <cell r="A986" t="str">
            <v>MCBE0151</v>
          </cell>
          <cell r="B986" t="str">
            <v>Evacuation des eaux pluviales</v>
          </cell>
          <cell r="C986" t="str">
            <v>CROCHETS GOUTTIERES ACIER GALVA</v>
          </cell>
          <cell r="D986" t="str">
            <v>CROCHET EMBOUTI 33 BOUDIN DE 14  QUARTZ (CARTON 100PCS) (PC)</v>
          </cell>
        </row>
        <row r="987">
          <cell r="A987" t="str">
            <v>MCBE0151</v>
          </cell>
          <cell r="B987" t="str">
            <v>Evacuation des eaux pluviales</v>
          </cell>
          <cell r="C987" t="str">
            <v>CROCHETS GOUTTIERES ACIER GALVA</v>
          </cell>
          <cell r="D987" t="str">
            <v>CROCHET EMBOUTI 33 BOUDIN DE 14  QUARTZ (CARTON 100PCS) (PC)</v>
          </cell>
        </row>
        <row r="988">
          <cell r="A988" t="str">
            <v>MCBE0151</v>
          </cell>
          <cell r="B988" t="str">
            <v>Evacuation des eaux pluviales</v>
          </cell>
          <cell r="C988" t="str">
            <v>CROCHETS GOUTTIERES ACIER GALVA</v>
          </cell>
          <cell r="D988" t="str">
            <v>CROCHET EMBOUTI 33 BOUDIN DE 14  QUARTZ (CARTON 100PCS) (PC)</v>
          </cell>
        </row>
        <row r="989">
          <cell r="A989" t="str">
            <v>MCBE0152</v>
          </cell>
          <cell r="B989" t="str">
            <v>Evacuation des eaux pluviales</v>
          </cell>
          <cell r="C989" t="str">
            <v>CROCHETS GOUTTIERES ACIER GALVA</v>
          </cell>
          <cell r="D989" t="str">
            <v>CROCHET VADOT 'V' PREGALVANISE GOUTTIERE 1/2R 25 DOS PLAT</v>
          </cell>
        </row>
        <row r="990">
          <cell r="A990" t="str">
            <v>MCBE0152</v>
          </cell>
          <cell r="B990" t="str">
            <v>Evacuation des eaux pluviales</v>
          </cell>
          <cell r="C990" t="str">
            <v>CROCHETS GOUTTIERES ACIER GALVA</v>
          </cell>
          <cell r="D990" t="str">
            <v>CROCHET VADOT 'V' PREGALVANISE GOUTTIERE 1/2R 25 DOS PLAT</v>
          </cell>
        </row>
        <row r="991">
          <cell r="A991" t="str">
            <v>MCBE0152</v>
          </cell>
          <cell r="B991" t="str">
            <v>Evacuation des eaux pluviales</v>
          </cell>
          <cell r="C991" t="str">
            <v>CROCHETS GOUTTIERES ACIER GALVA</v>
          </cell>
          <cell r="D991" t="str">
            <v>CROCHET VADOT 'V' PREGALVANISE GOUTTIERE 1/2R 25 DOS PLAT</v>
          </cell>
        </row>
        <row r="992">
          <cell r="A992" t="str">
            <v>MCBE0152</v>
          </cell>
          <cell r="B992" t="str">
            <v>Evacuation des eaux pluviales</v>
          </cell>
          <cell r="C992" t="str">
            <v>CROCHETS GOUTTIERES ACIER GALVA</v>
          </cell>
          <cell r="D992" t="str">
            <v>CROCHET VADOT 'V' PREGALVANISE GOUTTIERE 1/2R 25 DOS PLAT</v>
          </cell>
        </row>
        <row r="993">
          <cell r="A993" t="str">
            <v>MCBE0152</v>
          </cell>
          <cell r="B993" t="str">
            <v>Evacuation des eaux pluviales</v>
          </cell>
          <cell r="C993" t="str">
            <v>CROCHETS GOUTTIERES ACIER GALVA</v>
          </cell>
          <cell r="D993" t="str">
            <v>CROCHET VADOT 'V' PREGALVANISE GOUTTIERE 1/2R 25 DOS PLAT</v>
          </cell>
        </row>
        <row r="994">
          <cell r="A994" t="str">
            <v>MCBE0153</v>
          </cell>
          <cell r="B994" t="str">
            <v>Evacuation des eaux pluviales</v>
          </cell>
          <cell r="C994" t="str">
            <v>CROCHETS GOUTTIERES ACIER GALVA</v>
          </cell>
          <cell r="D994" t="str">
            <v>CROCHET VADOT 'V' TEINTE ARDOISE GOUTTIERE 1/2R 25 DOS PLAT</v>
          </cell>
        </row>
        <row r="995">
          <cell r="A995" t="str">
            <v>MCBE0153</v>
          </cell>
          <cell r="B995" t="str">
            <v>Evacuation des eaux pluviales</v>
          </cell>
          <cell r="C995" t="str">
            <v>CROCHETS GOUTTIERES ACIER GALVA</v>
          </cell>
          <cell r="D995" t="str">
            <v>CROCHET VADOT 'V' TEINTE ARDOISE GOUTTIERE 1/2R 25 DOS PLAT</v>
          </cell>
        </row>
        <row r="996">
          <cell r="A996" t="str">
            <v>MCBE0153</v>
          </cell>
          <cell r="B996" t="str">
            <v>Evacuation des eaux pluviales</v>
          </cell>
          <cell r="C996" t="str">
            <v>CROCHETS GOUTTIERES ACIER GALVA</v>
          </cell>
          <cell r="D996" t="str">
            <v>CROCHET VADOT 'V' TEINTE ARDOISE GOUTTIERE 1/2R 25 DOS PLAT</v>
          </cell>
        </row>
        <row r="997">
          <cell r="A997" t="str">
            <v>MCBE0153</v>
          </cell>
          <cell r="B997" t="str">
            <v>Evacuation des eaux pluviales</v>
          </cell>
          <cell r="C997" t="str">
            <v>CROCHETS GOUTTIERES ACIER GALVA</v>
          </cell>
          <cell r="D997" t="str">
            <v>CROCHET VADOT 'V' TEINTE ARDOISE GOUTTIERE 1/2R 25 DOS PLAT</v>
          </cell>
        </row>
        <row r="998">
          <cell r="A998" t="str">
            <v>MCBE0153</v>
          </cell>
          <cell r="B998" t="str">
            <v>Evacuation des eaux pluviales</v>
          </cell>
          <cell r="C998" t="str">
            <v>CROCHETS GOUTTIERES ACIER GALVA</v>
          </cell>
          <cell r="D998" t="str">
            <v>CROCHET VADOT 'V' TEINTE ARDOISE GOUTTIERE 1/2R 25 DOS PLAT</v>
          </cell>
        </row>
        <row r="999">
          <cell r="A999" t="str">
            <v>MCBE0154</v>
          </cell>
          <cell r="B999" t="str">
            <v>Evacuation des eaux pluviales</v>
          </cell>
          <cell r="C999" t="str">
            <v>CROCHETS GOUTTIERES ACIER GALVA</v>
          </cell>
          <cell r="D999" t="str">
            <v>CROCHET VADOT 'V' PREGALVANISE GOUTTIERE 1/2R 33 DOS PLAT</v>
          </cell>
        </row>
        <row r="1000">
          <cell r="A1000" t="str">
            <v>MCBE0154</v>
          </cell>
          <cell r="B1000" t="str">
            <v>Evacuation des eaux pluviales</v>
          </cell>
          <cell r="C1000" t="str">
            <v>CROCHETS GOUTTIERES ACIER GALVA</v>
          </cell>
          <cell r="D1000" t="str">
            <v>CROCHET VADOT 'V' PREGALVANISE GOUTTIERE 1/2R 33 DOS PLAT</v>
          </cell>
        </row>
        <row r="1001">
          <cell r="A1001" t="str">
            <v>MCBE0154</v>
          </cell>
          <cell r="B1001" t="str">
            <v>Evacuation des eaux pluviales</v>
          </cell>
          <cell r="C1001" t="str">
            <v>CROCHETS GOUTTIERES ACIER GALVA</v>
          </cell>
          <cell r="D1001" t="str">
            <v>CROCHET VADOT 'V' PREGALVANISE GOUTTIERE 1/2R 33 DOS PLAT</v>
          </cell>
        </row>
        <row r="1002">
          <cell r="A1002" t="str">
            <v>MCBE0154</v>
          </cell>
          <cell r="B1002" t="str">
            <v>Evacuation des eaux pluviales</v>
          </cell>
          <cell r="C1002" t="str">
            <v>CROCHETS GOUTTIERES ACIER GALVA</v>
          </cell>
          <cell r="D1002" t="str">
            <v>CROCHET VADOT 'V' PREGALVANISE GOUTTIERE 1/2R 33 DOS PLAT</v>
          </cell>
        </row>
        <row r="1003">
          <cell r="A1003" t="str">
            <v>MCBE0154</v>
          </cell>
          <cell r="B1003" t="str">
            <v>Evacuation des eaux pluviales</v>
          </cell>
          <cell r="C1003" t="str">
            <v>CROCHETS GOUTTIERES ACIER GALVA</v>
          </cell>
          <cell r="D1003" t="str">
            <v>CROCHET VADOT 'V' PREGALVANISE GOUTTIERE 1/2R 33 DOS PLAT</v>
          </cell>
        </row>
        <row r="1004">
          <cell r="A1004" t="str">
            <v>MCBE0155</v>
          </cell>
          <cell r="B1004" t="str">
            <v>Evacuation des eaux pluviales</v>
          </cell>
          <cell r="C1004" t="str">
            <v>CROCHETS GOUTTIERES PVC</v>
          </cell>
          <cell r="D1004" t="str">
            <v>CROCHET BANDEAU M.E.P GD25 ANTHRACITE</v>
          </cell>
        </row>
        <row r="1005">
          <cell r="A1005" t="str">
            <v>MCBE0155</v>
          </cell>
          <cell r="B1005" t="str">
            <v>Evacuation des eaux pluviales</v>
          </cell>
          <cell r="C1005" t="str">
            <v>CROCHETS GOUTTIERES PVC</v>
          </cell>
          <cell r="D1005" t="str">
            <v>CROCHET BANDEAU M.E.P GD25 ANTHRACITE</v>
          </cell>
        </row>
        <row r="1006">
          <cell r="A1006" t="str">
            <v>MCBE0155</v>
          </cell>
          <cell r="B1006" t="str">
            <v>Evacuation des eaux pluviales</v>
          </cell>
          <cell r="C1006" t="str">
            <v>CROCHETS GOUTTIERES PVC</v>
          </cell>
          <cell r="D1006" t="str">
            <v>CROCHET BANDEAU M.E.P GD25 ANTHRACITE</v>
          </cell>
        </row>
        <row r="1007">
          <cell r="A1007" t="str">
            <v>MCBE0155</v>
          </cell>
          <cell r="B1007" t="str">
            <v>Evacuation des eaux pluviales</v>
          </cell>
          <cell r="C1007" t="str">
            <v>CROCHETS GOUTTIERES PVC</v>
          </cell>
          <cell r="D1007" t="str">
            <v>CROCHET BANDEAU M.E.P GD25 ANTHRACITE</v>
          </cell>
        </row>
        <row r="1008">
          <cell r="A1008" t="str">
            <v>MCBE0155</v>
          </cell>
          <cell r="B1008" t="str">
            <v>Evacuation des eaux pluviales</v>
          </cell>
          <cell r="C1008" t="str">
            <v>CROCHETS GOUTTIERES PVC</v>
          </cell>
          <cell r="D1008" t="str">
            <v>CROCHET BANDEAU M.E.P GD25 ANTHRACITE</v>
          </cell>
        </row>
        <row r="1009">
          <cell r="A1009" t="str">
            <v>MCBE0155</v>
          </cell>
          <cell r="B1009" t="str">
            <v>Evacuation des eaux pluviales</v>
          </cell>
          <cell r="C1009" t="str">
            <v>CROCHETS GOUTTIERES PVC</v>
          </cell>
          <cell r="D1009" t="str">
            <v>CROCHET BANDEAU M.E.P GD25 ANTHRACITE</v>
          </cell>
        </row>
        <row r="1010">
          <cell r="A1010" t="str">
            <v>MCBE0156</v>
          </cell>
          <cell r="B1010" t="str">
            <v>Evacuation des eaux pluviales</v>
          </cell>
          <cell r="C1010" t="str">
            <v>CROCHETS GOUTTIERES PVC</v>
          </cell>
          <cell r="D1010" t="str">
            <v>CROCHET BANDEAU M.E.P GD25 BLANC</v>
          </cell>
        </row>
        <row r="1011">
          <cell r="A1011" t="str">
            <v>MCBE0156</v>
          </cell>
          <cell r="B1011" t="str">
            <v>Evacuation des eaux pluviales</v>
          </cell>
          <cell r="C1011" t="str">
            <v>CROCHETS GOUTTIERES PVC</v>
          </cell>
          <cell r="D1011" t="str">
            <v>CROCHET BANDEAU M.E.P GD25 BLANC</v>
          </cell>
        </row>
        <row r="1012">
          <cell r="A1012" t="str">
            <v>MCBE0156</v>
          </cell>
          <cell r="B1012" t="str">
            <v>Evacuation des eaux pluviales</v>
          </cell>
          <cell r="C1012" t="str">
            <v>CROCHETS GOUTTIERES PVC</v>
          </cell>
          <cell r="D1012" t="str">
            <v>CROCHET BANDEAU M.E.P GD25 BLANC</v>
          </cell>
        </row>
        <row r="1013">
          <cell r="A1013" t="str">
            <v>MCBE0156</v>
          </cell>
          <cell r="B1013" t="str">
            <v>Evacuation des eaux pluviales</v>
          </cell>
          <cell r="C1013" t="str">
            <v>CROCHETS GOUTTIERES PVC</v>
          </cell>
          <cell r="D1013" t="str">
            <v>CROCHET BANDEAU M.E.P GD25 BLANC</v>
          </cell>
        </row>
        <row r="1014">
          <cell r="A1014" t="str">
            <v>MCBE0156</v>
          </cell>
          <cell r="B1014" t="str">
            <v>Evacuation des eaux pluviales</v>
          </cell>
          <cell r="C1014" t="str">
            <v>CROCHETS GOUTTIERES PVC</v>
          </cell>
          <cell r="D1014" t="str">
            <v>CROCHET BANDEAU M.E.P GD25 BLANC</v>
          </cell>
        </row>
        <row r="1015">
          <cell r="A1015" t="str">
            <v>MCBE0156</v>
          </cell>
          <cell r="B1015" t="str">
            <v>Evacuation des eaux pluviales</v>
          </cell>
          <cell r="C1015" t="str">
            <v>CROCHETS GOUTTIERES PVC</v>
          </cell>
          <cell r="D1015" t="str">
            <v>CROCHET BANDEAU M.E.P GD25 BLANC</v>
          </cell>
        </row>
        <row r="1016">
          <cell r="A1016" t="str">
            <v>MCBE0157</v>
          </cell>
          <cell r="B1016" t="str">
            <v>Evacuation des eaux pluviales</v>
          </cell>
          <cell r="C1016" t="str">
            <v>CROCHETS GOUTTIERES PVC</v>
          </cell>
          <cell r="D1016" t="str">
            <v>CROCHET BANDEAU M.E.P GD25 GRIS</v>
          </cell>
        </row>
        <row r="1017">
          <cell r="A1017" t="str">
            <v>MCBE0157</v>
          </cell>
          <cell r="B1017" t="str">
            <v>Evacuation des eaux pluviales</v>
          </cell>
          <cell r="C1017" t="str">
            <v>CROCHETS GOUTTIERES PVC</v>
          </cell>
          <cell r="D1017" t="str">
            <v>CROCHET BANDEAU M.E.P GD25 GRIS</v>
          </cell>
        </row>
        <row r="1018">
          <cell r="A1018" t="str">
            <v>MCBE0157</v>
          </cell>
          <cell r="B1018" t="str">
            <v>Evacuation des eaux pluviales</v>
          </cell>
          <cell r="C1018" t="str">
            <v>CROCHETS GOUTTIERES PVC</v>
          </cell>
          <cell r="D1018" t="str">
            <v>CROCHET BANDEAU M.E.P GD25 GRIS</v>
          </cell>
        </row>
        <row r="1019">
          <cell r="A1019" t="str">
            <v>MCBE0157</v>
          </cell>
          <cell r="B1019" t="str">
            <v>Evacuation des eaux pluviales</v>
          </cell>
          <cell r="C1019" t="str">
            <v>CROCHETS GOUTTIERES PVC</v>
          </cell>
          <cell r="D1019" t="str">
            <v>CROCHET BANDEAU M.E.P GD25 GRIS</v>
          </cell>
        </row>
        <row r="1020">
          <cell r="A1020" t="str">
            <v>MCBE0157</v>
          </cell>
          <cell r="B1020" t="str">
            <v>Evacuation des eaux pluviales</v>
          </cell>
          <cell r="C1020" t="str">
            <v>CROCHETS GOUTTIERES PVC</v>
          </cell>
          <cell r="D1020" t="str">
            <v>CROCHET BANDEAU M.E.P GD25 GRIS</v>
          </cell>
        </row>
        <row r="1021">
          <cell r="A1021" t="str">
            <v>MCBE0157</v>
          </cell>
          <cell r="B1021" t="str">
            <v>Evacuation des eaux pluviales</v>
          </cell>
          <cell r="C1021" t="str">
            <v>CROCHETS GOUTTIERES PVC</v>
          </cell>
          <cell r="D1021" t="str">
            <v>CROCHET BANDEAU M.E.P GD25 GRIS</v>
          </cell>
        </row>
        <row r="1022">
          <cell r="A1022" t="str">
            <v>MCBE0158</v>
          </cell>
          <cell r="B1022" t="str">
            <v>Evacuation des eaux pluviales</v>
          </cell>
          <cell r="C1022" t="str">
            <v>CROCHETS GOUTTIERES PVC</v>
          </cell>
          <cell r="D1022" t="str">
            <v>CROCHET BANDEAU M.E.P GD25 NOIR</v>
          </cell>
        </row>
        <row r="1023">
          <cell r="A1023" t="str">
            <v>MCBE0158</v>
          </cell>
          <cell r="B1023" t="str">
            <v>Evacuation des eaux pluviales</v>
          </cell>
          <cell r="C1023" t="str">
            <v>CROCHETS GOUTTIERES PVC</v>
          </cell>
          <cell r="D1023" t="str">
            <v>CROCHET BANDEAU M.E.P GD25 NOIR</v>
          </cell>
        </row>
        <row r="1024">
          <cell r="A1024" t="str">
            <v>MCBE0158</v>
          </cell>
          <cell r="B1024" t="str">
            <v>Evacuation des eaux pluviales</v>
          </cell>
          <cell r="C1024" t="str">
            <v>CROCHETS GOUTTIERES PVC</v>
          </cell>
          <cell r="D1024" t="str">
            <v>CROCHET BANDEAU M.E.P GD25 NOIR</v>
          </cell>
        </row>
        <row r="1025">
          <cell r="A1025" t="str">
            <v>MCBE0158</v>
          </cell>
          <cell r="B1025" t="str">
            <v>Evacuation des eaux pluviales</v>
          </cell>
          <cell r="C1025" t="str">
            <v>CROCHETS GOUTTIERES PVC</v>
          </cell>
          <cell r="D1025" t="str">
            <v>CROCHET BANDEAU M.E.P GD25 NOIR</v>
          </cell>
        </row>
        <row r="1026">
          <cell r="A1026" t="str">
            <v>MCBE0158</v>
          </cell>
          <cell r="B1026" t="str">
            <v>Evacuation des eaux pluviales</v>
          </cell>
          <cell r="C1026" t="str">
            <v>CROCHETS GOUTTIERES PVC</v>
          </cell>
          <cell r="D1026" t="str">
            <v>CROCHET BANDEAU M.E.P GD25 NOIR</v>
          </cell>
        </row>
        <row r="1027">
          <cell r="A1027" t="str">
            <v>MCBE0158</v>
          </cell>
          <cell r="B1027" t="str">
            <v>Evacuation des eaux pluviales</v>
          </cell>
          <cell r="C1027" t="str">
            <v>CROCHETS GOUTTIERES PVC</v>
          </cell>
          <cell r="D1027" t="str">
            <v>CROCHET BANDEAU M.E.P GD25 NOIR</v>
          </cell>
        </row>
        <row r="1028">
          <cell r="A1028" t="str">
            <v>MCBE0159</v>
          </cell>
          <cell r="B1028" t="str">
            <v>Evacuation des eaux pluviales</v>
          </cell>
          <cell r="C1028" t="str">
            <v>CROCHETS GOUTTIERES PVC</v>
          </cell>
          <cell r="D1028" t="str">
            <v>CROCHET BANDEAU - PVC - SABLE - DEV.25</v>
          </cell>
        </row>
        <row r="1029">
          <cell r="A1029" t="str">
            <v>MCBE0159</v>
          </cell>
          <cell r="B1029" t="str">
            <v>Evacuation des eaux pluviales</v>
          </cell>
          <cell r="C1029" t="str">
            <v>CROCHETS GOUTTIERES PVC</v>
          </cell>
          <cell r="D1029" t="str">
            <v>CROCHET BANDEAU - PVC - SABLE - DEV.25</v>
          </cell>
        </row>
        <row r="1030">
          <cell r="A1030" t="str">
            <v>MCBE0159</v>
          </cell>
          <cell r="B1030" t="str">
            <v>Evacuation des eaux pluviales</v>
          </cell>
          <cell r="C1030" t="str">
            <v>CROCHETS GOUTTIERES PVC</v>
          </cell>
          <cell r="D1030" t="str">
            <v>CROCHET BANDEAU - PVC - SABLE - DEV.25</v>
          </cell>
        </row>
        <row r="1031">
          <cell r="A1031" t="str">
            <v>MCBE0159</v>
          </cell>
          <cell r="B1031" t="str">
            <v>Evacuation des eaux pluviales</v>
          </cell>
          <cell r="C1031" t="str">
            <v>CROCHETS GOUTTIERES PVC</v>
          </cell>
          <cell r="D1031" t="str">
            <v>CROCHET BANDEAU - PVC - SABLE - DEV.25</v>
          </cell>
        </row>
        <row r="1032">
          <cell r="A1032" t="str">
            <v>MCBE0159</v>
          </cell>
          <cell r="B1032" t="str">
            <v>Evacuation des eaux pluviales</v>
          </cell>
          <cell r="C1032" t="str">
            <v>CROCHETS GOUTTIERES PVC</v>
          </cell>
          <cell r="D1032" t="str">
            <v>CROCHET BANDEAU - PVC - SABLE - DEV.25</v>
          </cell>
        </row>
        <row r="1033">
          <cell r="A1033" t="str">
            <v>MCBE0159</v>
          </cell>
          <cell r="B1033" t="str">
            <v>Evacuation des eaux pluviales</v>
          </cell>
          <cell r="C1033" t="str">
            <v>CROCHETS GOUTTIERES PVC</v>
          </cell>
          <cell r="D1033" t="str">
            <v>CROCHET BANDEAU - PVC - SABLE - DEV.25</v>
          </cell>
        </row>
        <row r="1034">
          <cell r="A1034" t="str">
            <v>MCBE0160</v>
          </cell>
          <cell r="B1034" t="str">
            <v>Evacuation des eaux pluviales</v>
          </cell>
          <cell r="C1034" t="str">
            <v>CROCHETS GOUTTIERES PVC</v>
          </cell>
          <cell r="D1034" t="str">
            <v>CROCHET BANDEAU M.E.P GD33 BLANC</v>
          </cell>
        </row>
        <row r="1035">
          <cell r="A1035" t="str">
            <v>MCBE0160</v>
          </cell>
          <cell r="B1035" t="str">
            <v>Evacuation des eaux pluviales</v>
          </cell>
          <cell r="C1035" t="str">
            <v>CROCHETS GOUTTIERES PVC</v>
          </cell>
          <cell r="D1035" t="str">
            <v>CROCHET BANDEAU M.E.P GD33 BLANC</v>
          </cell>
        </row>
        <row r="1036">
          <cell r="A1036" t="str">
            <v>MCBE0160</v>
          </cell>
          <cell r="B1036" t="str">
            <v>Evacuation des eaux pluviales</v>
          </cell>
          <cell r="C1036" t="str">
            <v>CROCHETS GOUTTIERES PVC</v>
          </cell>
          <cell r="D1036" t="str">
            <v>CROCHET BANDEAU M.E.P GD33 BLANC</v>
          </cell>
        </row>
        <row r="1037">
          <cell r="A1037" t="str">
            <v>MCBE0160</v>
          </cell>
          <cell r="B1037" t="str">
            <v>Evacuation des eaux pluviales</v>
          </cell>
          <cell r="C1037" t="str">
            <v>CROCHETS GOUTTIERES PVC</v>
          </cell>
          <cell r="D1037" t="str">
            <v>CROCHET BANDEAU M.E.P GD33 BLANC</v>
          </cell>
        </row>
        <row r="1038">
          <cell r="A1038" t="str">
            <v>MCBE0160</v>
          </cell>
          <cell r="B1038" t="str">
            <v>Evacuation des eaux pluviales</v>
          </cell>
          <cell r="C1038" t="str">
            <v>CROCHETS GOUTTIERES PVC</v>
          </cell>
          <cell r="D1038" t="str">
            <v>CROCHET BANDEAU M.E.P GD33 BLANC</v>
          </cell>
        </row>
        <row r="1039">
          <cell r="A1039" t="str">
            <v>MCBE0160</v>
          </cell>
          <cell r="B1039" t="str">
            <v>Evacuation des eaux pluviales</v>
          </cell>
          <cell r="C1039" t="str">
            <v>CROCHETS GOUTTIERES PVC</v>
          </cell>
          <cell r="D1039" t="str">
            <v>CROCHET BANDEAU M.E.P GD33 BLANC</v>
          </cell>
        </row>
        <row r="1040">
          <cell r="A1040" t="str">
            <v>MCBE0161</v>
          </cell>
          <cell r="B1040" t="str">
            <v>Evacuation des eaux pluviales</v>
          </cell>
          <cell r="C1040" t="str">
            <v>CROCHETS GOUTTIERES PVC</v>
          </cell>
          <cell r="D1040" t="str">
            <v>CROCHET BANDEAU M.E.P GD33 GRIS</v>
          </cell>
        </row>
        <row r="1041">
          <cell r="A1041" t="str">
            <v>MCBE0161</v>
          </cell>
          <cell r="B1041" t="str">
            <v>Evacuation des eaux pluviales</v>
          </cell>
          <cell r="C1041" t="str">
            <v>CROCHETS GOUTTIERES PVC</v>
          </cell>
          <cell r="D1041" t="str">
            <v>CROCHET BANDEAU M.E.P GD33 GRIS</v>
          </cell>
        </row>
        <row r="1042">
          <cell r="A1042" t="str">
            <v>MCBE0161</v>
          </cell>
          <cell r="B1042" t="str">
            <v>Evacuation des eaux pluviales</v>
          </cell>
          <cell r="C1042" t="str">
            <v>CROCHETS GOUTTIERES PVC</v>
          </cell>
          <cell r="D1042" t="str">
            <v>CROCHET BANDEAU M.E.P GD33 GRIS</v>
          </cell>
        </row>
        <row r="1043">
          <cell r="A1043" t="str">
            <v>MCBE0161</v>
          </cell>
          <cell r="B1043" t="str">
            <v>Evacuation des eaux pluviales</v>
          </cell>
          <cell r="C1043" t="str">
            <v>CROCHETS GOUTTIERES PVC</v>
          </cell>
          <cell r="D1043" t="str">
            <v>CROCHET BANDEAU M.E.P GD33 GRIS</v>
          </cell>
        </row>
        <row r="1044">
          <cell r="A1044" t="str">
            <v>MCBE0161</v>
          </cell>
          <cell r="B1044" t="str">
            <v>Evacuation des eaux pluviales</v>
          </cell>
          <cell r="C1044" t="str">
            <v>CROCHETS GOUTTIERES PVC</v>
          </cell>
          <cell r="D1044" t="str">
            <v>CROCHET BANDEAU M.E.P GD33 GRIS</v>
          </cell>
        </row>
        <row r="1045">
          <cell r="A1045" t="str">
            <v>MCBE0161</v>
          </cell>
          <cell r="B1045" t="str">
            <v>Evacuation des eaux pluviales</v>
          </cell>
          <cell r="C1045" t="str">
            <v>CROCHETS GOUTTIERES PVC</v>
          </cell>
          <cell r="D1045" t="str">
            <v>CROCHET BANDEAU M.E.P GD33 GRIS</v>
          </cell>
        </row>
        <row r="1046">
          <cell r="A1046" t="str">
            <v>MCBE0162</v>
          </cell>
          <cell r="B1046" t="str">
            <v>Evacuation des eaux pluviales</v>
          </cell>
          <cell r="C1046" t="str">
            <v>CROCHETS GOUTTIERES PVC</v>
          </cell>
          <cell r="D1046" t="str">
            <v>CROCHET BANDEAU M.E.P GD33 NOIR</v>
          </cell>
        </row>
        <row r="1047">
          <cell r="A1047" t="str">
            <v>MCBE0162</v>
          </cell>
          <cell r="B1047" t="str">
            <v>Evacuation des eaux pluviales</v>
          </cell>
          <cell r="C1047" t="str">
            <v>CROCHETS GOUTTIERES PVC</v>
          </cell>
          <cell r="D1047" t="str">
            <v>CROCHET BANDEAU M.E.P GD33 NOIR</v>
          </cell>
        </row>
        <row r="1048">
          <cell r="A1048" t="str">
            <v>MCBE0162</v>
          </cell>
          <cell r="B1048" t="str">
            <v>Evacuation des eaux pluviales</v>
          </cell>
          <cell r="C1048" t="str">
            <v>CROCHETS GOUTTIERES PVC</v>
          </cell>
          <cell r="D1048" t="str">
            <v>CROCHET BANDEAU M.E.P GD33 NOIR</v>
          </cell>
        </row>
        <row r="1049">
          <cell r="A1049" t="str">
            <v>MCBE0162</v>
          </cell>
          <cell r="B1049" t="str">
            <v>Evacuation des eaux pluviales</v>
          </cell>
          <cell r="C1049" t="str">
            <v>CROCHETS GOUTTIERES PVC</v>
          </cell>
          <cell r="D1049" t="str">
            <v>CROCHET BANDEAU M.E.P GD33 NOIR</v>
          </cell>
        </row>
        <row r="1050">
          <cell r="A1050" t="str">
            <v>MCBE0162</v>
          </cell>
          <cell r="B1050" t="str">
            <v>Evacuation des eaux pluviales</v>
          </cell>
          <cell r="C1050" t="str">
            <v>CROCHETS GOUTTIERES PVC</v>
          </cell>
          <cell r="D1050" t="str">
            <v>CROCHET BANDEAU M.E.P GD33 NOIR</v>
          </cell>
        </row>
        <row r="1051">
          <cell r="A1051" t="str">
            <v>MCBE0162</v>
          </cell>
          <cell r="B1051" t="str">
            <v>Evacuation des eaux pluviales</v>
          </cell>
          <cell r="C1051" t="str">
            <v>CROCHETS GOUTTIERES PVC</v>
          </cell>
          <cell r="D1051" t="str">
            <v>CROCHET BANDEAU M.E.P GD33 NOIR</v>
          </cell>
        </row>
        <row r="1052">
          <cell r="A1052" t="str">
            <v>MCBE0163</v>
          </cell>
          <cell r="B1052" t="str">
            <v>Evacuation des eaux pluviales</v>
          </cell>
          <cell r="C1052" t="str">
            <v>CROCHETS GOUTTIERES PVC</v>
          </cell>
          <cell r="D1052" t="str">
            <v>CROCHET BANDEAU M.E.P GD33 SABLE</v>
          </cell>
        </row>
        <row r="1053">
          <cell r="A1053" t="str">
            <v>MCBE0163</v>
          </cell>
          <cell r="B1053" t="str">
            <v>Evacuation des eaux pluviales</v>
          </cell>
          <cell r="C1053" t="str">
            <v>CROCHETS GOUTTIERES PVC</v>
          </cell>
          <cell r="D1053" t="str">
            <v>CROCHET BANDEAU M.E.P GD33 SABLE</v>
          </cell>
        </row>
        <row r="1054">
          <cell r="A1054" t="str">
            <v>MCBE0163</v>
          </cell>
          <cell r="B1054" t="str">
            <v>Evacuation des eaux pluviales</v>
          </cell>
          <cell r="C1054" t="str">
            <v>CROCHETS GOUTTIERES PVC</v>
          </cell>
          <cell r="D1054" t="str">
            <v>CROCHET BANDEAU M.E.P GD33 SABLE</v>
          </cell>
        </row>
        <row r="1055">
          <cell r="A1055" t="str">
            <v>MCBE0163</v>
          </cell>
          <cell r="B1055" t="str">
            <v>Evacuation des eaux pluviales</v>
          </cell>
          <cell r="C1055" t="str">
            <v>CROCHETS GOUTTIERES PVC</v>
          </cell>
          <cell r="D1055" t="str">
            <v>CROCHET BANDEAU M.E.P GD33 SABLE</v>
          </cell>
        </row>
        <row r="1056">
          <cell r="A1056" t="str">
            <v>MCBE0163</v>
          </cell>
          <cell r="B1056" t="str">
            <v>Evacuation des eaux pluviales</v>
          </cell>
          <cell r="C1056" t="str">
            <v>CROCHETS GOUTTIERES PVC</v>
          </cell>
          <cell r="D1056" t="str">
            <v>CROCHET BANDEAU M.E.P GD33 SABLE</v>
          </cell>
        </row>
        <row r="1057">
          <cell r="A1057" t="str">
            <v>MCBE0163</v>
          </cell>
          <cell r="B1057" t="str">
            <v>Evacuation des eaux pluviales</v>
          </cell>
          <cell r="C1057" t="str">
            <v>CROCHETS GOUTTIERES PVC</v>
          </cell>
          <cell r="D1057" t="str">
            <v>CROCHET BANDEAU M.E.P GD33 SABLE</v>
          </cell>
        </row>
        <row r="1058">
          <cell r="A1058" t="str">
            <v>MCBE0164</v>
          </cell>
          <cell r="B1058" t="str">
            <v>Evacuation des eaux pluviales</v>
          </cell>
          <cell r="C1058" t="str">
            <v>CROCHETS GOUTTIERES ZINC</v>
          </cell>
          <cell r="D1058" t="str">
            <v>Crochet d25 zinc nat</v>
          </cell>
        </row>
        <row r="1059">
          <cell r="A1059" t="str">
            <v>MCBE0164</v>
          </cell>
          <cell r="B1059" t="str">
            <v>Evacuation des eaux pluviales</v>
          </cell>
          <cell r="C1059" t="str">
            <v>CROCHETS GOUTTIERES ZINC</v>
          </cell>
          <cell r="D1059" t="str">
            <v>Crochet d25 zinc nat</v>
          </cell>
        </row>
        <row r="1060">
          <cell r="A1060" t="str">
            <v>MCBE0164</v>
          </cell>
          <cell r="B1060" t="str">
            <v>Evacuation des eaux pluviales</v>
          </cell>
          <cell r="C1060" t="str">
            <v>CROCHETS GOUTTIERES ZINC</v>
          </cell>
          <cell r="D1060" t="str">
            <v>Crochet d25 zinc nat</v>
          </cell>
        </row>
        <row r="1061">
          <cell r="A1061" t="str">
            <v>MCBE0164</v>
          </cell>
          <cell r="B1061" t="str">
            <v>Evacuation des eaux pluviales</v>
          </cell>
          <cell r="C1061" t="str">
            <v>CROCHETS GOUTTIERES ZINC</v>
          </cell>
          <cell r="D1061" t="str">
            <v>Crochet d25 zinc nat</v>
          </cell>
        </row>
        <row r="1062">
          <cell r="A1062" t="str">
            <v>MCBE0165</v>
          </cell>
          <cell r="B1062" t="str">
            <v>Evacuation des eaux pluviales</v>
          </cell>
          <cell r="C1062" t="str">
            <v>CROCHETS GOUTTIERES ZINC</v>
          </cell>
          <cell r="D1062" t="str">
            <v>CROCHET CARRE EMBOUTI - QUARTZ/SLATE</v>
          </cell>
        </row>
        <row r="1063">
          <cell r="A1063" t="str">
            <v>MCBE0165</v>
          </cell>
          <cell r="B1063" t="str">
            <v>Evacuation des eaux pluviales</v>
          </cell>
          <cell r="C1063" t="str">
            <v>CROCHETS GOUTTIERES ZINC</v>
          </cell>
          <cell r="D1063" t="str">
            <v>CROCHET CARRE EMBOUTI - QUARTZ/SLATE</v>
          </cell>
        </row>
        <row r="1064">
          <cell r="A1064" t="str">
            <v>MCBE0165</v>
          </cell>
          <cell r="B1064" t="str">
            <v>Evacuation des eaux pluviales</v>
          </cell>
          <cell r="C1064" t="str">
            <v>CROCHETS GOUTTIERES ZINC</v>
          </cell>
          <cell r="D1064" t="str">
            <v>CROCHET CARRE EMBOUTI - QUARTZ/SLATE</v>
          </cell>
        </row>
        <row r="1065">
          <cell r="A1065" t="str">
            <v>MCBE0165</v>
          </cell>
          <cell r="B1065" t="str">
            <v>Evacuation des eaux pluviales</v>
          </cell>
          <cell r="C1065" t="str">
            <v>CROCHETS GOUTTIERES ZINC</v>
          </cell>
          <cell r="D1065" t="str">
            <v>CROCHET CARRE EMBOUTI - QUARTZ/SLATE</v>
          </cell>
        </row>
        <row r="1066">
          <cell r="A1066" t="str">
            <v>MCBE0166</v>
          </cell>
          <cell r="B1066" t="str">
            <v>Evacuation des eaux pluviales</v>
          </cell>
          <cell r="C1066" t="str">
            <v>CUVETTE ZINC</v>
          </cell>
          <cell r="D1066" t="str">
            <v>CUVETTE BRANCHEMENT DIAM. 100 ZINC NATUREL</v>
          </cell>
        </row>
        <row r="1067">
          <cell r="A1067" t="str">
            <v>MCBE0166</v>
          </cell>
          <cell r="B1067" t="str">
            <v>Evacuation des eaux pluviales</v>
          </cell>
          <cell r="C1067" t="str">
            <v>CUVETTE ZINC</v>
          </cell>
          <cell r="D1067" t="str">
            <v>CUVETTE BRANCHEMENT DIAM. 100 ZINC NATUREL</v>
          </cell>
        </row>
        <row r="1068">
          <cell r="A1068" t="str">
            <v>MCBE0166</v>
          </cell>
          <cell r="B1068" t="str">
            <v>Evacuation des eaux pluviales</v>
          </cell>
          <cell r="C1068" t="str">
            <v>CUVETTE ZINC</v>
          </cell>
          <cell r="D1068" t="str">
            <v>CUVETTE BRANCHEMENT DIAM. 100 ZINC NATUREL</v>
          </cell>
        </row>
        <row r="1069">
          <cell r="A1069" t="str">
            <v>MCBE0166</v>
          </cell>
          <cell r="B1069" t="str">
            <v>Evacuation des eaux pluviales</v>
          </cell>
          <cell r="C1069" t="str">
            <v>CUVETTE ZINC</v>
          </cell>
          <cell r="D1069" t="str">
            <v>CUVETTE BRANCHEMENT DIAM. 100 ZINC NATUREL</v>
          </cell>
        </row>
        <row r="1070">
          <cell r="A1070" t="str">
            <v>MCBE0166</v>
          </cell>
          <cell r="B1070" t="str">
            <v>Evacuation des eaux pluviales</v>
          </cell>
          <cell r="C1070" t="str">
            <v>CUVETTE ZINC</v>
          </cell>
          <cell r="D1070" t="str">
            <v>CUVETTE BRANCHEMENT DIAM. 100 ZINC NATUREL</v>
          </cell>
        </row>
        <row r="1071">
          <cell r="A1071" t="str">
            <v>MCBE0166</v>
          </cell>
          <cell r="B1071" t="str">
            <v>Evacuation des eaux pluviales</v>
          </cell>
          <cell r="C1071" t="str">
            <v>CUVETTE ZINC</v>
          </cell>
          <cell r="D1071" t="str">
            <v>CUVETTE BRANCHEMENT DIAM. 100 ZINC NATUREL</v>
          </cell>
        </row>
        <row r="1072">
          <cell r="A1072" t="str">
            <v>MCBE0167</v>
          </cell>
          <cell r="B1072" t="str">
            <v>Evacuation des eaux pluviales</v>
          </cell>
          <cell r="C1072" t="str">
            <v>CUVETTE ZINC</v>
          </cell>
          <cell r="D1072" t="str">
            <v>CUVETTE BRANCHEMENT DIAM. 100 ZINC QUARTZ</v>
          </cell>
        </row>
        <row r="1073">
          <cell r="A1073" t="str">
            <v>MCBE0167</v>
          </cell>
          <cell r="B1073" t="str">
            <v>Evacuation des eaux pluviales</v>
          </cell>
          <cell r="C1073" t="str">
            <v>CUVETTE ZINC</v>
          </cell>
          <cell r="D1073" t="str">
            <v>CUVETTE BRANCHEMENT DIAM. 100 ZINC QUARTZ</v>
          </cell>
        </row>
        <row r="1074">
          <cell r="A1074" t="str">
            <v>MCBE0167</v>
          </cell>
          <cell r="B1074" t="str">
            <v>Evacuation des eaux pluviales</v>
          </cell>
          <cell r="C1074" t="str">
            <v>CUVETTE ZINC</v>
          </cell>
          <cell r="D1074" t="str">
            <v>CUVETTE BRANCHEMENT DIAM. 100 ZINC QUARTZ</v>
          </cell>
        </row>
        <row r="1075">
          <cell r="A1075" t="str">
            <v>MCBE0167</v>
          </cell>
          <cell r="B1075" t="str">
            <v>Evacuation des eaux pluviales</v>
          </cell>
          <cell r="C1075" t="str">
            <v>CUVETTE ZINC</v>
          </cell>
          <cell r="D1075" t="str">
            <v>CUVETTE BRANCHEMENT DIAM. 100 ZINC QUARTZ</v>
          </cell>
        </row>
        <row r="1076">
          <cell r="A1076" t="str">
            <v>MCBE0167</v>
          </cell>
          <cell r="B1076" t="str">
            <v>Evacuation des eaux pluviales</v>
          </cell>
          <cell r="C1076" t="str">
            <v>CUVETTE ZINC</v>
          </cell>
          <cell r="D1076" t="str">
            <v>CUVETTE BRANCHEMENT DIAM. 100 ZINC QUARTZ</v>
          </cell>
        </row>
        <row r="1077">
          <cell r="A1077" t="str">
            <v>MCBE0167</v>
          </cell>
          <cell r="B1077" t="str">
            <v>Evacuation des eaux pluviales</v>
          </cell>
          <cell r="C1077" t="str">
            <v>CUVETTE ZINC</v>
          </cell>
          <cell r="D1077" t="str">
            <v>CUVETTE BRANCHEMENT DIAM. 100 ZINC QUARTZ</v>
          </cell>
        </row>
        <row r="1078">
          <cell r="A1078" t="str">
            <v>MCBE0168</v>
          </cell>
          <cell r="B1078" t="str">
            <v>Evacuation des eaux pluviales</v>
          </cell>
          <cell r="C1078" t="str">
            <v>CUVETTE ZINC</v>
          </cell>
          <cell r="D1078" t="str">
            <v>CUVETTE BRANCHEMENT DIAM. 120 ZINC NATUREL</v>
          </cell>
        </row>
        <row r="1079">
          <cell r="A1079" t="str">
            <v>MCBE0168</v>
          </cell>
          <cell r="B1079" t="str">
            <v>Evacuation des eaux pluviales</v>
          </cell>
          <cell r="C1079" t="str">
            <v>CUVETTE ZINC</v>
          </cell>
          <cell r="D1079" t="str">
            <v>CUVETTE BRANCHEMENT DIAM. 120 ZINC NATUREL</v>
          </cell>
        </row>
        <row r="1080">
          <cell r="A1080" t="str">
            <v>MCBE0168</v>
          </cell>
          <cell r="B1080" t="str">
            <v>Evacuation des eaux pluviales</v>
          </cell>
          <cell r="C1080" t="str">
            <v>CUVETTE ZINC</v>
          </cell>
          <cell r="D1080" t="str">
            <v>CUVETTE BRANCHEMENT DIAM. 120 ZINC NATUREL</v>
          </cell>
        </row>
        <row r="1081">
          <cell r="A1081" t="str">
            <v>MCBE0168</v>
          </cell>
          <cell r="B1081" t="str">
            <v>Evacuation des eaux pluviales</v>
          </cell>
          <cell r="C1081" t="str">
            <v>CUVETTE ZINC</v>
          </cell>
          <cell r="D1081" t="str">
            <v>CUVETTE BRANCHEMENT DIAM. 120 ZINC NATUREL</v>
          </cell>
        </row>
        <row r="1082">
          <cell r="A1082" t="str">
            <v>MCBE0168</v>
          </cell>
          <cell r="B1082" t="str">
            <v>Evacuation des eaux pluviales</v>
          </cell>
          <cell r="C1082" t="str">
            <v>CUVETTE ZINC</v>
          </cell>
          <cell r="D1082" t="str">
            <v>CUVETTE BRANCHEMENT DIAM. 120 ZINC NATUREL</v>
          </cell>
        </row>
        <row r="1083">
          <cell r="A1083" t="str">
            <v>MCBE0168</v>
          </cell>
          <cell r="B1083" t="str">
            <v>Evacuation des eaux pluviales</v>
          </cell>
          <cell r="C1083" t="str">
            <v>CUVETTE ZINC</v>
          </cell>
          <cell r="D1083" t="str">
            <v>CUVETTE BRANCHEMENT DIAM. 120 ZINC NATUREL</v>
          </cell>
        </row>
        <row r="1084">
          <cell r="A1084" t="str">
            <v>MCBE0169</v>
          </cell>
          <cell r="B1084" t="str">
            <v>Evacuation des eaux pluviales</v>
          </cell>
          <cell r="C1084" t="str">
            <v>CUVETTE ZINC</v>
          </cell>
          <cell r="D1084" t="str">
            <v>CUVETTE BRANCHEMENT DIAM. 80 ZINC NATUREL</v>
          </cell>
        </row>
        <row r="1085">
          <cell r="A1085" t="str">
            <v>MCBE0169</v>
          </cell>
          <cell r="B1085" t="str">
            <v>Evacuation des eaux pluviales</v>
          </cell>
          <cell r="C1085" t="str">
            <v>CUVETTE ZINC</v>
          </cell>
          <cell r="D1085" t="str">
            <v>CUVETTE BRANCHEMENT DIAM. 80 ZINC NATUREL</v>
          </cell>
        </row>
        <row r="1086">
          <cell r="A1086" t="str">
            <v>MCBE0169</v>
          </cell>
          <cell r="B1086" t="str">
            <v>Evacuation des eaux pluviales</v>
          </cell>
          <cell r="C1086" t="str">
            <v>CUVETTE ZINC</v>
          </cell>
          <cell r="D1086" t="str">
            <v>CUVETTE BRANCHEMENT DIAM. 80 ZINC NATUREL</v>
          </cell>
        </row>
        <row r="1087">
          <cell r="A1087" t="str">
            <v>MCBE0169</v>
          </cell>
          <cell r="B1087" t="str">
            <v>Evacuation des eaux pluviales</v>
          </cell>
          <cell r="C1087" t="str">
            <v>CUVETTE ZINC</v>
          </cell>
          <cell r="D1087" t="str">
            <v>CUVETTE BRANCHEMENT DIAM. 80 ZINC NATUREL</v>
          </cell>
        </row>
        <row r="1088">
          <cell r="A1088" t="str">
            <v>MCBE0169</v>
          </cell>
          <cell r="B1088" t="str">
            <v>Evacuation des eaux pluviales</v>
          </cell>
          <cell r="C1088" t="str">
            <v>CUVETTE ZINC</v>
          </cell>
          <cell r="D1088" t="str">
            <v>CUVETTE BRANCHEMENT DIAM. 80 ZINC NATUREL</v>
          </cell>
        </row>
        <row r="1089">
          <cell r="A1089" t="str">
            <v>MCBE0169</v>
          </cell>
          <cell r="B1089" t="str">
            <v>Evacuation des eaux pluviales</v>
          </cell>
          <cell r="C1089" t="str">
            <v>CUVETTE ZINC</v>
          </cell>
          <cell r="D1089" t="str">
            <v>CUVETTE BRANCHEMENT DIAM. 80 ZINC NATUREL</v>
          </cell>
        </row>
        <row r="1090">
          <cell r="A1090" t="str">
            <v>MCBE0170</v>
          </cell>
          <cell r="B1090" t="str">
            <v>Evacuation des eaux pluviales</v>
          </cell>
          <cell r="C1090" t="str">
            <v>CUVETTE ZINC</v>
          </cell>
          <cell r="D1090" t="str">
            <v>CUVETTE CARREE AVEC DEG. 220X220 DIAM. 100 ZINC ANTHRA</v>
          </cell>
        </row>
        <row r="1091">
          <cell r="A1091" t="str">
            <v>MCBE0170</v>
          </cell>
          <cell r="B1091" t="str">
            <v>Evacuation des eaux pluviales</v>
          </cell>
          <cell r="C1091" t="str">
            <v>CUVETTE ZINC</v>
          </cell>
          <cell r="D1091" t="str">
            <v>CUVETTE CARREE AVEC DEG. 220X220 DIAM. 100 ZINC ANTHRA</v>
          </cell>
        </row>
        <row r="1092">
          <cell r="A1092" t="str">
            <v>MCBE0170</v>
          </cell>
          <cell r="B1092" t="str">
            <v>Evacuation des eaux pluviales</v>
          </cell>
          <cell r="C1092" t="str">
            <v>CUVETTE ZINC</v>
          </cell>
          <cell r="D1092" t="str">
            <v>CUVETTE CARREE AVEC DEG. 220X220 DIAM. 100 ZINC ANTHRA</v>
          </cell>
        </row>
        <row r="1093">
          <cell r="A1093" t="str">
            <v>MCBE0170</v>
          </cell>
          <cell r="B1093" t="str">
            <v>Evacuation des eaux pluviales</v>
          </cell>
          <cell r="C1093" t="str">
            <v>CUVETTE ZINC</v>
          </cell>
          <cell r="D1093" t="str">
            <v>CUVETTE CARREE AVEC DEG. 220X220 DIAM. 100 ZINC ANTHRA</v>
          </cell>
        </row>
        <row r="1094">
          <cell r="A1094" t="str">
            <v>MCBE0170</v>
          </cell>
          <cell r="B1094" t="str">
            <v>Evacuation des eaux pluviales</v>
          </cell>
          <cell r="C1094" t="str">
            <v>CUVETTE ZINC</v>
          </cell>
          <cell r="D1094" t="str">
            <v>CUVETTE CARREE AVEC DEG. 220X220 DIAM. 100 ZINC ANTHRA</v>
          </cell>
        </row>
        <row r="1095">
          <cell r="A1095" t="str">
            <v>MCBE0170</v>
          </cell>
          <cell r="B1095" t="str">
            <v>Evacuation des eaux pluviales</v>
          </cell>
          <cell r="C1095" t="str">
            <v>CUVETTE ZINC</v>
          </cell>
          <cell r="D1095" t="str">
            <v>CUVETTE CARREE AVEC DEG. 220X220 DIAM. 100 ZINC ANTHRA</v>
          </cell>
        </row>
        <row r="1096">
          <cell r="A1096" t="str">
            <v>MCBE0171</v>
          </cell>
          <cell r="B1096" t="str">
            <v>Evacuation des eaux pluviales</v>
          </cell>
          <cell r="C1096" t="str">
            <v>CUVETTE ZINC</v>
          </cell>
          <cell r="D1096" t="str">
            <v>CUVETTE CARREE AVEC DEG. 220X220 DIAM.100 ZINC QUARTZ</v>
          </cell>
        </row>
        <row r="1097">
          <cell r="A1097" t="str">
            <v>MCBE0171</v>
          </cell>
          <cell r="B1097" t="str">
            <v>Evacuation des eaux pluviales</v>
          </cell>
          <cell r="C1097" t="str">
            <v>CUVETTE ZINC</v>
          </cell>
          <cell r="D1097" t="str">
            <v>CUVETTE CARREE AVEC DEG. 220X220 DIAM.100 ZINC QUARTZ</v>
          </cell>
        </row>
        <row r="1098">
          <cell r="A1098" t="str">
            <v>MCBE0171</v>
          </cell>
          <cell r="B1098" t="str">
            <v>Evacuation des eaux pluviales</v>
          </cell>
          <cell r="C1098" t="str">
            <v>CUVETTE ZINC</v>
          </cell>
          <cell r="D1098" t="str">
            <v>CUVETTE CARREE AVEC DEG. 220X220 DIAM.100 ZINC QUARTZ</v>
          </cell>
        </row>
        <row r="1099">
          <cell r="A1099" t="str">
            <v>MCBE0171</v>
          </cell>
          <cell r="B1099" t="str">
            <v>Evacuation des eaux pluviales</v>
          </cell>
          <cell r="C1099" t="str">
            <v>CUVETTE ZINC</v>
          </cell>
          <cell r="D1099" t="str">
            <v>CUVETTE CARREE AVEC DEG. 220X220 DIAM.100 ZINC QUARTZ</v>
          </cell>
        </row>
        <row r="1100">
          <cell r="A1100" t="str">
            <v>MCBE0171</v>
          </cell>
          <cell r="B1100" t="str">
            <v>Evacuation des eaux pluviales</v>
          </cell>
          <cell r="C1100" t="str">
            <v>CUVETTE ZINC</v>
          </cell>
          <cell r="D1100" t="str">
            <v>CUVETTE CARREE AVEC DEG. 220X220 DIAM.100 ZINC QUARTZ</v>
          </cell>
        </row>
        <row r="1101">
          <cell r="A1101" t="str">
            <v>MCBE0171</v>
          </cell>
          <cell r="B1101" t="str">
            <v>Evacuation des eaux pluviales</v>
          </cell>
          <cell r="C1101" t="str">
            <v>CUVETTE ZINC</v>
          </cell>
          <cell r="D1101" t="str">
            <v>CUVETTE CARREE AVEC DEG. 220X220 DIAM.100 ZINC QUARTZ</v>
          </cell>
        </row>
        <row r="1102">
          <cell r="A1102" t="str">
            <v>MCBE0172</v>
          </cell>
          <cell r="B1102" t="str">
            <v>Evacuation des eaux pluviales</v>
          </cell>
          <cell r="C1102" t="str">
            <v>CUVETTE ZINC</v>
          </cell>
          <cell r="D1102" t="str">
            <v>CUVETTE CARREE 220X220 DIAM. 100 ZINC NATUREL</v>
          </cell>
        </row>
        <row r="1103">
          <cell r="A1103" t="str">
            <v>MCBE0172</v>
          </cell>
          <cell r="B1103" t="str">
            <v>Evacuation des eaux pluviales</v>
          </cell>
          <cell r="C1103" t="str">
            <v>CUVETTE ZINC</v>
          </cell>
          <cell r="D1103" t="str">
            <v>CUVETTE CARREE 220X220 DIAM. 100 ZINC NATUREL</v>
          </cell>
        </row>
        <row r="1104">
          <cell r="A1104" t="str">
            <v>MCBE0172</v>
          </cell>
          <cell r="B1104" t="str">
            <v>Evacuation des eaux pluviales</v>
          </cell>
          <cell r="C1104" t="str">
            <v>CUVETTE ZINC</v>
          </cell>
          <cell r="D1104" t="str">
            <v>CUVETTE CARREE 220X220 DIAM. 100 ZINC NATUREL</v>
          </cell>
        </row>
        <row r="1105">
          <cell r="A1105" t="str">
            <v>MCBE0172</v>
          </cell>
          <cell r="B1105" t="str">
            <v>Evacuation des eaux pluviales</v>
          </cell>
          <cell r="C1105" t="str">
            <v>CUVETTE ZINC</v>
          </cell>
          <cell r="D1105" t="str">
            <v>CUVETTE CARREE 220X220 DIAM. 100 ZINC NATUREL</v>
          </cell>
        </row>
        <row r="1106">
          <cell r="A1106" t="str">
            <v>MCBE0172</v>
          </cell>
          <cell r="B1106" t="str">
            <v>Evacuation des eaux pluviales</v>
          </cell>
          <cell r="C1106" t="str">
            <v>CUVETTE ZINC</v>
          </cell>
          <cell r="D1106" t="str">
            <v>CUVETTE CARREE 220X220 DIAM. 100 ZINC NATUREL</v>
          </cell>
        </row>
        <row r="1107">
          <cell r="A1107" t="str">
            <v>MCBE0172</v>
          </cell>
          <cell r="B1107" t="str">
            <v>Evacuation des eaux pluviales</v>
          </cell>
          <cell r="C1107" t="str">
            <v>CUVETTE ZINC</v>
          </cell>
          <cell r="D1107" t="str">
            <v>CUVETTE CARREE 220X220 DIAM. 100 ZINC NATUREL</v>
          </cell>
        </row>
        <row r="1108">
          <cell r="A1108" t="str">
            <v>MCBE0173</v>
          </cell>
          <cell r="B1108" t="str">
            <v>Evacuation des eaux pluviales</v>
          </cell>
          <cell r="C1108" t="str">
            <v>CUVETTE ZINC</v>
          </cell>
          <cell r="D1108" t="str">
            <v>CUVETTE CARREE AVEC DEG. 220X220 DIAM. 80 ZINC ANTHRA</v>
          </cell>
        </row>
        <row r="1109">
          <cell r="A1109" t="str">
            <v>MCBE0173</v>
          </cell>
          <cell r="B1109" t="str">
            <v>Evacuation des eaux pluviales</v>
          </cell>
          <cell r="C1109" t="str">
            <v>CUVETTE ZINC</v>
          </cell>
          <cell r="D1109" t="str">
            <v>CUVETTE CARREE AVEC DEG. 220X220 DIAM. 80 ZINC ANTHRA</v>
          </cell>
        </row>
        <row r="1110">
          <cell r="A1110" t="str">
            <v>MCBE0173</v>
          </cell>
          <cell r="B1110" t="str">
            <v>Evacuation des eaux pluviales</v>
          </cell>
          <cell r="C1110" t="str">
            <v>CUVETTE ZINC</v>
          </cell>
          <cell r="D1110" t="str">
            <v>CUVETTE CARREE AVEC DEG. 220X220 DIAM. 80 ZINC ANTHRA</v>
          </cell>
        </row>
        <row r="1111">
          <cell r="A1111" t="str">
            <v>MCBE0173</v>
          </cell>
          <cell r="B1111" t="str">
            <v>Evacuation des eaux pluviales</v>
          </cell>
          <cell r="C1111" t="str">
            <v>CUVETTE ZINC</v>
          </cell>
          <cell r="D1111" t="str">
            <v>CUVETTE CARREE AVEC DEG. 220X220 DIAM. 80 ZINC ANTHRA</v>
          </cell>
        </row>
        <row r="1112">
          <cell r="A1112" t="str">
            <v>MCBE0173</v>
          </cell>
          <cell r="B1112" t="str">
            <v>Evacuation des eaux pluviales</v>
          </cell>
          <cell r="C1112" t="str">
            <v>CUVETTE ZINC</v>
          </cell>
          <cell r="D1112" t="str">
            <v>CUVETTE CARREE AVEC DEG. 220X220 DIAM. 80 ZINC ANTHRA</v>
          </cell>
        </row>
        <row r="1113">
          <cell r="A1113" t="str">
            <v>MCBE0174</v>
          </cell>
          <cell r="B1113" t="str">
            <v>Evacuation des eaux pluviales</v>
          </cell>
          <cell r="C1113" t="str">
            <v>CUVETTE ZINC</v>
          </cell>
          <cell r="D1113" t="str">
            <v>CUVETTE CARREE AVEC DEG. 220X220 DIAM. 80 ZINC QUARTZ</v>
          </cell>
        </row>
        <row r="1114">
          <cell r="A1114" t="str">
            <v>MCBE0174</v>
          </cell>
          <cell r="B1114" t="str">
            <v>Evacuation des eaux pluviales</v>
          </cell>
          <cell r="C1114" t="str">
            <v>CUVETTE ZINC</v>
          </cell>
          <cell r="D1114" t="str">
            <v>CUVETTE CARREE AVEC DEG. 220X220 DIAM. 80 ZINC QUARTZ</v>
          </cell>
        </row>
        <row r="1115">
          <cell r="A1115" t="str">
            <v>MCBE0174</v>
          </cell>
          <cell r="B1115" t="str">
            <v>Evacuation des eaux pluviales</v>
          </cell>
          <cell r="C1115" t="str">
            <v>CUVETTE ZINC</v>
          </cell>
          <cell r="D1115" t="str">
            <v>CUVETTE CARREE AVEC DEG. 220X220 DIAM. 80 ZINC QUARTZ</v>
          </cell>
        </row>
        <row r="1116">
          <cell r="A1116" t="str">
            <v>MCBE0174</v>
          </cell>
          <cell r="B1116" t="str">
            <v>Evacuation des eaux pluviales</v>
          </cell>
          <cell r="C1116" t="str">
            <v>CUVETTE ZINC</v>
          </cell>
          <cell r="D1116" t="str">
            <v>CUVETTE CARREE AVEC DEG. 220X220 DIAM. 80 ZINC QUARTZ</v>
          </cell>
        </row>
        <row r="1117">
          <cell r="A1117" t="str">
            <v>MCBE0174</v>
          </cell>
          <cell r="B1117" t="str">
            <v>Evacuation des eaux pluviales</v>
          </cell>
          <cell r="C1117" t="str">
            <v>CUVETTE ZINC</v>
          </cell>
          <cell r="D1117" t="str">
            <v>CUVETTE CARREE AVEC DEG. 220X220 DIAM. 80 ZINC QUARTZ</v>
          </cell>
        </row>
        <row r="1118">
          <cell r="A1118" t="str">
            <v>MCBE0175</v>
          </cell>
          <cell r="B1118" t="str">
            <v>Evacuation des eaux pluviales</v>
          </cell>
          <cell r="C1118" t="str">
            <v>CUVETTE ZINC</v>
          </cell>
          <cell r="D1118" t="str">
            <v>CUVETTE CARREE AVEC DEG. 220X220 DIAM. 80 ZINC NATUREL</v>
          </cell>
        </row>
        <row r="1119">
          <cell r="A1119" t="str">
            <v>MCBE0175</v>
          </cell>
          <cell r="B1119" t="str">
            <v>Evacuation des eaux pluviales</v>
          </cell>
          <cell r="C1119" t="str">
            <v>CUVETTE ZINC</v>
          </cell>
          <cell r="D1119" t="str">
            <v>CUVETTE CARREE AVEC DEG. 220X220 DIAM. 80 ZINC NATUREL</v>
          </cell>
        </row>
        <row r="1120">
          <cell r="A1120" t="str">
            <v>MCBE0175</v>
          </cell>
          <cell r="B1120" t="str">
            <v>Evacuation des eaux pluviales</v>
          </cell>
          <cell r="C1120" t="str">
            <v>CUVETTE ZINC</v>
          </cell>
          <cell r="D1120" t="str">
            <v>CUVETTE CARREE AVEC DEG. 220X220 DIAM. 80 ZINC NATUREL</v>
          </cell>
        </row>
        <row r="1121">
          <cell r="A1121" t="str">
            <v>MCBE0175</v>
          </cell>
          <cell r="B1121" t="str">
            <v>Evacuation des eaux pluviales</v>
          </cell>
          <cell r="C1121" t="str">
            <v>CUVETTE ZINC</v>
          </cell>
          <cell r="D1121" t="str">
            <v>CUVETTE CARREE AVEC DEG. 220X220 DIAM. 80 ZINC NATUREL</v>
          </cell>
        </row>
        <row r="1122">
          <cell r="A1122" t="str">
            <v>MCBE0175</v>
          </cell>
          <cell r="B1122" t="str">
            <v>Evacuation des eaux pluviales</v>
          </cell>
          <cell r="C1122" t="str">
            <v>CUVETTE ZINC</v>
          </cell>
          <cell r="D1122" t="str">
            <v>CUVETTE CARREE AVEC DEG. 220X220 DIAM. 80 ZINC NATUREL</v>
          </cell>
        </row>
        <row r="1123">
          <cell r="A1123" t="str">
            <v>MCBE0176</v>
          </cell>
          <cell r="B1123" t="str">
            <v>Evacuation des eaux pluviales</v>
          </cell>
          <cell r="C1123" t="str">
            <v>COULISSEAU</v>
          </cell>
          <cell r="D1123" t="str">
            <v>COULISSEAU DE TETE JOINT DEBOUT ZINC QUARTZ 0,65 X 60 X 100</v>
          </cell>
        </row>
        <row r="1124">
          <cell r="A1124" t="str">
            <v>MCBE0176</v>
          </cell>
          <cell r="B1124" t="str">
            <v>Evacuation des eaux pluviales</v>
          </cell>
          <cell r="C1124" t="str">
            <v>COULISSEAU</v>
          </cell>
          <cell r="D1124" t="str">
            <v>COULISSEAU DE TETE JOINT DEBOUT ZINC QUARTZ 0,65 X 60 X 100</v>
          </cell>
        </row>
        <row r="1125">
          <cell r="A1125" t="str">
            <v>MCBE0176</v>
          </cell>
          <cell r="B1125" t="str">
            <v>Evacuation des eaux pluviales</v>
          </cell>
          <cell r="C1125" t="str">
            <v>COULISSEAU</v>
          </cell>
          <cell r="D1125" t="str">
            <v>COULISSEAU DE TETE JOINT DEBOUT ZINC QUARTZ 0,65 X 60 X 100</v>
          </cell>
        </row>
        <row r="1126">
          <cell r="A1126" t="str">
            <v>MCBE0176</v>
          </cell>
          <cell r="B1126" t="str">
            <v>Evacuation des eaux pluviales</v>
          </cell>
          <cell r="C1126" t="str">
            <v>COULISSEAU</v>
          </cell>
          <cell r="D1126" t="str">
            <v>COULISSEAU DE TETE JOINT DEBOUT ZINC QUARTZ 0,65 X 60 X 100</v>
          </cell>
        </row>
        <row r="1127">
          <cell r="A1127" t="str">
            <v>MCBE0176</v>
          </cell>
          <cell r="B1127" t="str">
            <v>Evacuation des eaux pluviales</v>
          </cell>
          <cell r="C1127" t="str">
            <v>COULISSEAU</v>
          </cell>
          <cell r="D1127" t="str">
            <v>COULISSEAU DE TETE JOINT DEBOUT ZINC QUARTZ 0,65 X 60 X 100</v>
          </cell>
        </row>
        <row r="1128">
          <cell r="A1128" t="str">
            <v>MCBE0176</v>
          </cell>
          <cell r="B1128" t="str">
            <v>Evacuation des eaux pluviales</v>
          </cell>
          <cell r="C1128" t="str">
            <v>COULISSEAU</v>
          </cell>
          <cell r="D1128" t="str">
            <v>COULISSEAU DE TETE JOINT DEBOUT ZINC QUARTZ 0,65 X 60 X 100</v>
          </cell>
        </row>
        <row r="1129">
          <cell r="A1129" t="str">
            <v>MCBE0177</v>
          </cell>
          <cell r="B1129" t="str">
            <v>Evacuation des eaux pluviales</v>
          </cell>
          <cell r="C1129" t="str">
            <v>CUVETTE ZINC</v>
          </cell>
          <cell r="D1129" t="str">
            <v>CUVETTE 1/2 RONDE FACE DIAM. 100 ZINC NATUREL</v>
          </cell>
        </row>
        <row r="1130">
          <cell r="A1130" t="str">
            <v>MCBE0177</v>
          </cell>
          <cell r="B1130" t="str">
            <v>Evacuation des eaux pluviales</v>
          </cell>
          <cell r="C1130" t="str">
            <v>CUVETTE ZINC</v>
          </cell>
          <cell r="D1130" t="str">
            <v>CUVETTE 1/2 RONDE FACE DIAM. 100 ZINC NATUREL</v>
          </cell>
        </row>
        <row r="1131">
          <cell r="A1131" t="str">
            <v>MCBE0177</v>
          </cell>
          <cell r="B1131" t="str">
            <v>Evacuation des eaux pluviales</v>
          </cell>
          <cell r="C1131" t="str">
            <v>CUVETTE ZINC</v>
          </cell>
          <cell r="D1131" t="str">
            <v>CUVETTE 1/2 RONDE FACE DIAM. 100 ZINC NATUREL</v>
          </cell>
        </row>
        <row r="1132">
          <cell r="A1132" t="str">
            <v>MCBE0177</v>
          </cell>
          <cell r="B1132" t="str">
            <v>Evacuation des eaux pluviales</v>
          </cell>
          <cell r="C1132" t="str">
            <v>CUVETTE ZINC</v>
          </cell>
          <cell r="D1132" t="str">
            <v>CUVETTE 1/2 RONDE FACE DIAM. 100 ZINC NATUREL</v>
          </cell>
        </row>
        <row r="1133">
          <cell r="A1133" t="str">
            <v>MCBE0177</v>
          </cell>
          <cell r="B1133" t="str">
            <v>Evacuation des eaux pluviales</v>
          </cell>
          <cell r="C1133" t="str">
            <v>CUVETTE ZINC</v>
          </cell>
          <cell r="D1133" t="str">
            <v>CUVETTE 1/2 RONDE FACE DIAM. 100 ZINC NATUREL</v>
          </cell>
        </row>
        <row r="1134">
          <cell r="A1134" t="str">
            <v>MCBE0177</v>
          </cell>
          <cell r="B1134" t="str">
            <v>Evacuation des eaux pluviales</v>
          </cell>
          <cell r="C1134" t="str">
            <v>CUVETTE ZINC</v>
          </cell>
          <cell r="D1134" t="str">
            <v>CUVETTE 1/2 RONDE FACE DIAM. 100 ZINC NATUREL</v>
          </cell>
        </row>
        <row r="1135">
          <cell r="A1135" t="str">
            <v>MCBE0178</v>
          </cell>
          <cell r="B1135" t="str">
            <v>Evacuation des eaux pluviales</v>
          </cell>
          <cell r="C1135" t="str">
            <v>CUVETTE ZINC</v>
          </cell>
          <cell r="D1135" t="str">
            <v>CUVETTE 1/2 RONDE FACE DIAM. 120 ZINC NATUREL</v>
          </cell>
        </row>
        <row r="1136">
          <cell r="A1136" t="str">
            <v>MCBE0178</v>
          </cell>
          <cell r="B1136" t="str">
            <v>Evacuation des eaux pluviales</v>
          </cell>
          <cell r="C1136" t="str">
            <v>CUVETTE ZINC</v>
          </cell>
          <cell r="D1136" t="str">
            <v>CUVETTE 1/2 RONDE FACE DIAM. 120 ZINC NATUREL</v>
          </cell>
        </row>
        <row r="1137">
          <cell r="A1137" t="str">
            <v>MCBE0178</v>
          </cell>
          <cell r="B1137" t="str">
            <v>Evacuation des eaux pluviales</v>
          </cell>
          <cell r="C1137" t="str">
            <v>CUVETTE ZINC</v>
          </cell>
          <cell r="D1137" t="str">
            <v>CUVETTE 1/2 RONDE FACE DIAM. 120 ZINC NATUREL</v>
          </cell>
        </row>
        <row r="1138">
          <cell r="A1138" t="str">
            <v>MCBE0178</v>
          </cell>
          <cell r="B1138" t="str">
            <v>Evacuation des eaux pluviales</v>
          </cell>
          <cell r="C1138" t="str">
            <v>CUVETTE ZINC</v>
          </cell>
          <cell r="D1138" t="str">
            <v>CUVETTE 1/2 RONDE FACE DIAM. 120 ZINC NATUREL</v>
          </cell>
        </row>
        <row r="1139">
          <cell r="A1139" t="str">
            <v>MCBE0178</v>
          </cell>
          <cell r="B1139" t="str">
            <v>Evacuation des eaux pluviales</v>
          </cell>
          <cell r="C1139" t="str">
            <v>CUVETTE ZINC</v>
          </cell>
          <cell r="D1139" t="str">
            <v>CUVETTE 1/2 RONDE FACE DIAM. 120 ZINC NATUREL</v>
          </cell>
        </row>
        <row r="1140">
          <cell r="A1140" t="str">
            <v>MCBE0178</v>
          </cell>
          <cell r="B1140" t="str">
            <v>Evacuation des eaux pluviales</v>
          </cell>
          <cell r="C1140" t="str">
            <v>CUVETTE ZINC</v>
          </cell>
          <cell r="D1140" t="str">
            <v>CUVETTE 1/2 RONDE FACE DIAM. 120 ZINC NATUREL</v>
          </cell>
        </row>
        <row r="1141">
          <cell r="A1141" t="str">
            <v>MCBE0179</v>
          </cell>
          <cell r="B1141" t="str">
            <v>Evacuation des eaux pluviales</v>
          </cell>
          <cell r="C1141" t="str">
            <v>CUVETTE ZINC</v>
          </cell>
          <cell r="D1141" t="str">
            <v>CUVETTE 1/2 RONDE FACE DIAM. 80 ZINC NATUREL</v>
          </cell>
        </row>
        <row r="1142">
          <cell r="A1142" t="str">
            <v>MCBE0179</v>
          </cell>
          <cell r="B1142" t="str">
            <v>Evacuation des eaux pluviales</v>
          </cell>
          <cell r="C1142" t="str">
            <v>CUVETTE ZINC</v>
          </cell>
          <cell r="D1142" t="str">
            <v>CUVETTE 1/2 RONDE FACE DIAM. 80 ZINC NATUREL</v>
          </cell>
        </row>
        <row r="1143">
          <cell r="A1143" t="str">
            <v>MCBE0179</v>
          </cell>
          <cell r="B1143" t="str">
            <v>Evacuation des eaux pluviales</v>
          </cell>
          <cell r="C1143" t="str">
            <v>CUVETTE ZINC</v>
          </cell>
          <cell r="D1143" t="str">
            <v>CUVETTE 1/2 RONDE FACE DIAM. 80 ZINC NATUREL</v>
          </cell>
        </row>
        <row r="1144">
          <cell r="A1144" t="str">
            <v>MCBE0179</v>
          </cell>
          <cell r="B1144" t="str">
            <v>Evacuation des eaux pluviales</v>
          </cell>
          <cell r="C1144" t="str">
            <v>CUVETTE ZINC</v>
          </cell>
          <cell r="D1144" t="str">
            <v>CUVETTE 1/2 RONDE FACE DIAM. 80 ZINC NATUREL</v>
          </cell>
        </row>
        <row r="1145">
          <cell r="A1145" t="str">
            <v>MCBE0179</v>
          </cell>
          <cell r="B1145" t="str">
            <v>Evacuation des eaux pluviales</v>
          </cell>
          <cell r="C1145" t="str">
            <v>CUVETTE ZINC</v>
          </cell>
          <cell r="D1145" t="str">
            <v>CUVETTE 1/2 RONDE FACE DIAM. 80 ZINC NATUREL</v>
          </cell>
        </row>
        <row r="1146">
          <cell r="A1146" t="str">
            <v>MCBE0179</v>
          </cell>
          <cell r="B1146" t="str">
            <v>Evacuation des eaux pluviales</v>
          </cell>
          <cell r="C1146" t="str">
            <v>CUVETTE ZINC</v>
          </cell>
          <cell r="D1146" t="str">
            <v>CUVETTE 1/2 RONDE FACE DIAM. 80 ZINC NATUREL</v>
          </cell>
        </row>
        <row r="1147">
          <cell r="A1147" t="str">
            <v>MCBE0180</v>
          </cell>
          <cell r="B1147" t="str">
            <v>Evacuation des eaux pluviales</v>
          </cell>
          <cell r="C1147" t="str">
            <v>DAUPHIN FONTE</v>
          </cell>
          <cell r="D1147" t="str">
            <v>DAUPHIN FONTE Ø100 1ML COUDE BLANC</v>
          </cell>
        </row>
        <row r="1148">
          <cell r="A1148" t="str">
            <v>MCBE0180</v>
          </cell>
          <cell r="B1148" t="str">
            <v>Evacuation des eaux pluviales</v>
          </cell>
          <cell r="C1148" t="str">
            <v>DAUPHIN FONTE</v>
          </cell>
          <cell r="D1148" t="str">
            <v>DAUPHIN FONTE Ø100 1ML COUDE BLANC</v>
          </cell>
        </row>
        <row r="1149">
          <cell r="A1149" t="str">
            <v>MCBE0180</v>
          </cell>
          <cell r="B1149" t="str">
            <v>Evacuation des eaux pluviales</v>
          </cell>
          <cell r="C1149" t="str">
            <v>DAUPHIN FONTE</v>
          </cell>
          <cell r="D1149" t="str">
            <v>DAUPHIN FONTE Ø100 1ML COUDE BLANC</v>
          </cell>
        </row>
        <row r="1150">
          <cell r="A1150" t="str">
            <v>MCBE0180</v>
          </cell>
          <cell r="B1150" t="str">
            <v>Evacuation des eaux pluviales</v>
          </cell>
          <cell r="C1150" t="str">
            <v>DAUPHIN FONTE</v>
          </cell>
          <cell r="D1150" t="str">
            <v>DAUPHIN FONTE Ø100 1ML COUDE BLANC</v>
          </cell>
        </row>
        <row r="1151">
          <cell r="A1151" t="str">
            <v>MCBE0181</v>
          </cell>
          <cell r="B1151" t="str">
            <v>Evacuation des eaux pluviales</v>
          </cell>
          <cell r="C1151" t="str">
            <v>DAUPHIN FONTE</v>
          </cell>
          <cell r="D1151" t="str">
            <v>DAUPHIN COUDE - FONTE BLANC - D 100 - LG.2ML</v>
          </cell>
        </row>
        <row r="1152">
          <cell r="A1152" t="str">
            <v>MCBE0181</v>
          </cell>
          <cell r="B1152" t="str">
            <v>Evacuation des eaux pluviales</v>
          </cell>
          <cell r="C1152" t="str">
            <v>DAUPHIN FONTE</v>
          </cell>
          <cell r="D1152" t="str">
            <v>DAUPHIN COUDE - FONTE BLANC - D 100 - LG.2ML</v>
          </cell>
        </row>
        <row r="1153">
          <cell r="A1153" t="str">
            <v>MCBE0181</v>
          </cell>
          <cell r="B1153" t="str">
            <v>Evacuation des eaux pluviales</v>
          </cell>
          <cell r="C1153" t="str">
            <v>DAUPHIN FONTE</v>
          </cell>
          <cell r="D1153" t="str">
            <v>DAUPHIN COUDE - FONTE BLANC - D 100 - LG.2ML</v>
          </cell>
        </row>
        <row r="1154">
          <cell r="A1154" t="str">
            <v>MCBE0181</v>
          </cell>
          <cell r="B1154" t="str">
            <v>Evacuation des eaux pluviales</v>
          </cell>
          <cell r="C1154" t="str">
            <v>DAUPHIN FONTE</v>
          </cell>
          <cell r="D1154" t="str">
            <v>DAUPHIN COUDE - FONTE BLANC - D 100 - LG.2ML</v>
          </cell>
        </row>
        <row r="1155">
          <cell r="A1155" t="str">
            <v>MCBE0182</v>
          </cell>
          <cell r="B1155" t="str">
            <v>Evacuation des eaux pluviales</v>
          </cell>
          <cell r="C1155" t="str">
            <v>DAUPHIN FONTE</v>
          </cell>
          <cell r="D1155" t="str">
            <v>DAUPHIN COUDE - FONTE BLANC - D 80 - LG.2ML</v>
          </cell>
        </row>
        <row r="1156">
          <cell r="A1156" t="str">
            <v>MCBE0182</v>
          </cell>
          <cell r="B1156" t="str">
            <v>Evacuation des eaux pluviales</v>
          </cell>
          <cell r="C1156" t="str">
            <v>DAUPHIN FONTE</v>
          </cell>
          <cell r="D1156" t="str">
            <v>DAUPHIN COUDE - FONTE BLANC - D 80 - LG.2ML</v>
          </cell>
        </row>
        <row r="1157">
          <cell r="A1157" t="str">
            <v>MCBE0182</v>
          </cell>
          <cell r="B1157" t="str">
            <v>Evacuation des eaux pluviales</v>
          </cell>
          <cell r="C1157" t="str">
            <v>DAUPHIN FONTE</v>
          </cell>
          <cell r="D1157" t="str">
            <v>DAUPHIN COUDE - FONTE BLANC - D 80 - LG.2ML</v>
          </cell>
        </row>
        <row r="1158">
          <cell r="A1158" t="str">
            <v>MCBE0182</v>
          </cell>
          <cell r="B1158" t="str">
            <v>Evacuation des eaux pluviales</v>
          </cell>
          <cell r="C1158" t="str">
            <v>DAUPHIN FONTE</v>
          </cell>
          <cell r="D1158" t="str">
            <v>DAUPHIN COUDE - FONTE BLANC - D 80 - LG.2ML</v>
          </cell>
        </row>
        <row r="1159">
          <cell r="A1159" t="str">
            <v>MCBE0183</v>
          </cell>
          <cell r="B1159" t="str">
            <v>Evacuation des eaux pluviales</v>
          </cell>
          <cell r="C1159" t="str">
            <v>DAUPHIN FONTE</v>
          </cell>
          <cell r="D1159" t="str">
            <v>DAUPHIN FONTE PAVILLONNAIRE COUDE DIAM 100 LG 1ML CREME</v>
          </cell>
        </row>
        <row r="1160">
          <cell r="A1160" t="str">
            <v>MCBE0183</v>
          </cell>
          <cell r="B1160" t="str">
            <v>Evacuation des eaux pluviales</v>
          </cell>
          <cell r="C1160" t="str">
            <v>DAUPHIN FONTE</v>
          </cell>
          <cell r="D1160" t="str">
            <v>DAUPHIN FONTE PAVILLONNAIRE COUDE DIAM 100 LG 1ML CREME</v>
          </cell>
        </row>
        <row r="1161">
          <cell r="A1161" t="str">
            <v>MCBE0183</v>
          </cell>
          <cell r="B1161" t="str">
            <v>Evacuation des eaux pluviales</v>
          </cell>
          <cell r="C1161" t="str">
            <v>DAUPHIN FONTE</v>
          </cell>
          <cell r="D1161" t="str">
            <v>DAUPHIN FONTE PAVILLONNAIRE COUDE DIAM 100 LG 1ML CREME</v>
          </cell>
        </row>
        <row r="1162">
          <cell r="A1162" t="str">
            <v>MCBE0183</v>
          </cell>
          <cell r="B1162" t="str">
            <v>Evacuation des eaux pluviales</v>
          </cell>
          <cell r="C1162" t="str">
            <v>DAUPHIN FONTE</v>
          </cell>
          <cell r="D1162" t="str">
            <v>DAUPHIN FONTE PAVILLONNAIRE COUDE DIAM 100 LG 1ML CREME</v>
          </cell>
        </row>
        <row r="1163">
          <cell r="A1163" t="str">
            <v>MCBE0183</v>
          </cell>
          <cell r="B1163" t="str">
            <v>Evacuation des eaux pluviales</v>
          </cell>
          <cell r="C1163" t="str">
            <v>DAUPHIN FONTE</v>
          </cell>
          <cell r="D1163" t="str">
            <v>DAUPHIN FONTE PAVILLONNAIRE COUDE DIAM 100 LG 1ML CREME</v>
          </cell>
        </row>
        <row r="1164">
          <cell r="A1164" t="str">
            <v>MCBE0184</v>
          </cell>
          <cell r="B1164" t="str">
            <v>Evacuation des eaux pluviales</v>
          </cell>
          <cell r="C1164" t="str">
            <v>DAUPHIN FONTE</v>
          </cell>
          <cell r="D1164" t="str">
            <v>DAUPHIN FONTE PAVILLONNAIRE COUDE DIAM 80 LG 1ML CREME</v>
          </cell>
        </row>
        <row r="1165">
          <cell r="A1165" t="str">
            <v>MCBE0184</v>
          </cell>
          <cell r="B1165" t="str">
            <v>Evacuation des eaux pluviales</v>
          </cell>
          <cell r="C1165" t="str">
            <v>DAUPHIN FONTE</v>
          </cell>
          <cell r="D1165" t="str">
            <v>DAUPHIN FONTE PAVILLONNAIRE COUDE DIAM 80 LG 1ML CREME</v>
          </cell>
        </row>
        <row r="1166">
          <cell r="A1166" t="str">
            <v>MCBE0184</v>
          </cell>
          <cell r="B1166" t="str">
            <v>Evacuation des eaux pluviales</v>
          </cell>
          <cell r="C1166" t="str">
            <v>DAUPHIN FONTE</v>
          </cell>
          <cell r="D1166" t="str">
            <v>DAUPHIN FONTE PAVILLONNAIRE COUDE DIAM 80 LG 1ML CREME</v>
          </cell>
        </row>
        <row r="1167">
          <cell r="A1167" t="str">
            <v>MCBE0184</v>
          </cell>
          <cell r="B1167" t="str">
            <v>Evacuation des eaux pluviales</v>
          </cell>
          <cell r="C1167" t="str">
            <v>DAUPHIN FONTE</v>
          </cell>
          <cell r="D1167" t="str">
            <v>DAUPHIN FONTE PAVILLONNAIRE COUDE DIAM 80 LG 1ML CREME</v>
          </cell>
        </row>
        <row r="1168">
          <cell r="A1168" t="str">
            <v>MCBE0184</v>
          </cell>
          <cell r="B1168" t="str">
            <v>Evacuation des eaux pluviales</v>
          </cell>
          <cell r="C1168" t="str">
            <v>DAUPHIN FONTE</v>
          </cell>
          <cell r="D1168" t="str">
            <v>DAUPHIN FONTE PAVILLONNAIRE COUDE DIAM 80 LG 1ML CREME</v>
          </cell>
        </row>
        <row r="1169">
          <cell r="A1169" t="str">
            <v>MCBE0185</v>
          </cell>
          <cell r="B1169" t="str">
            <v>Evacuation des eaux pluviales</v>
          </cell>
          <cell r="C1169" t="str">
            <v>DAUPHIN FONTE</v>
          </cell>
          <cell r="D1169" t="str">
            <v>DAUPHIN FONTE Ø80 1ML DROIT BLANC</v>
          </cell>
        </row>
        <row r="1170">
          <cell r="A1170" t="str">
            <v>MCBE0185</v>
          </cell>
          <cell r="B1170" t="str">
            <v>Evacuation des eaux pluviales</v>
          </cell>
          <cell r="C1170" t="str">
            <v>DAUPHIN FONTE</v>
          </cell>
          <cell r="D1170" t="str">
            <v>DAUPHIN FONTE Ø80 1ML DROIT BLANC</v>
          </cell>
        </row>
        <row r="1171">
          <cell r="A1171" t="str">
            <v>MCBE0185</v>
          </cell>
          <cell r="B1171" t="str">
            <v>Evacuation des eaux pluviales</v>
          </cell>
          <cell r="C1171" t="str">
            <v>DAUPHIN FONTE</v>
          </cell>
          <cell r="D1171" t="str">
            <v>DAUPHIN FONTE Ø80 1ML DROIT BLANC</v>
          </cell>
        </row>
        <row r="1172">
          <cell r="A1172" t="str">
            <v>MCBE0185</v>
          </cell>
          <cell r="B1172" t="str">
            <v>Evacuation des eaux pluviales</v>
          </cell>
          <cell r="C1172" t="str">
            <v>DAUPHIN FONTE</v>
          </cell>
          <cell r="D1172" t="str">
            <v>DAUPHIN FONTE Ø80 1ML DROIT BLANC</v>
          </cell>
        </row>
        <row r="1173">
          <cell r="A1173" t="str">
            <v>MCBE0186</v>
          </cell>
          <cell r="B1173" t="str">
            <v>Evacuation des eaux pluviales</v>
          </cell>
          <cell r="C1173" t="str">
            <v>DAUPHIN FONTE</v>
          </cell>
          <cell r="D1173" t="str">
            <v>Dauphin 2m ø 80 mm droit</v>
          </cell>
        </row>
        <row r="1174">
          <cell r="A1174" t="str">
            <v>MCBE0186</v>
          </cell>
          <cell r="B1174" t="str">
            <v>Evacuation des eaux pluviales</v>
          </cell>
          <cell r="C1174" t="str">
            <v>DAUPHIN FONTE</v>
          </cell>
          <cell r="D1174" t="str">
            <v>Dauphin 2m ø 80 mm droit</v>
          </cell>
        </row>
        <row r="1175">
          <cell r="A1175" t="str">
            <v>MCBE0186</v>
          </cell>
          <cell r="B1175" t="str">
            <v>Evacuation des eaux pluviales</v>
          </cell>
          <cell r="C1175" t="str">
            <v>DAUPHIN FONTE</v>
          </cell>
          <cell r="D1175" t="str">
            <v>Dauphin 2m ø 80 mm droit</v>
          </cell>
        </row>
        <row r="1176">
          <cell r="A1176" t="str">
            <v>MCBE0186</v>
          </cell>
          <cell r="B1176" t="str">
            <v>Evacuation des eaux pluviales</v>
          </cell>
          <cell r="C1176" t="str">
            <v>DAUPHIN FONTE</v>
          </cell>
          <cell r="D1176" t="str">
            <v>Dauphin 2m ø 80 mm droit</v>
          </cell>
        </row>
        <row r="1177">
          <cell r="A1177" t="str">
            <v>MCBE0187</v>
          </cell>
          <cell r="B1177" t="str">
            <v>Evacuation des eaux pluviales</v>
          </cell>
          <cell r="C1177" t="str">
            <v>DAUPHIN FONTE</v>
          </cell>
          <cell r="D1177" t="str">
            <v>DAUPHIN FONTE PAVILLONNAIRE DROIT DIAM 100 LG 1 ML CREME</v>
          </cell>
        </row>
        <row r="1178">
          <cell r="A1178" t="str">
            <v>MCBE0187</v>
          </cell>
          <cell r="B1178" t="str">
            <v>Evacuation des eaux pluviales</v>
          </cell>
          <cell r="C1178" t="str">
            <v>DAUPHIN FONTE</v>
          </cell>
          <cell r="D1178" t="str">
            <v>DAUPHIN FONTE PAVILLONNAIRE DROIT DIAM 100 LG 1 ML CREME</v>
          </cell>
        </row>
        <row r="1179">
          <cell r="A1179" t="str">
            <v>MCBE0187</v>
          </cell>
          <cell r="B1179" t="str">
            <v>Evacuation des eaux pluviales</v>
          </cell>
          <cell r="C1179" t="str">
            <v>DAUPHIN FONTE</v>
          </cell>
          <cell r="D1179" t="str">
            <v>DAUPHIN FONTE PAVILLONNAIRE DROIT DIAM 100 LG 1 ML CREME</v>
          </cell>
        </row>
        <row r="1180">
          <cell r="A1180" t="str">
            <v>MCBE0187</v>
          </cell>
          <cell r="B1180" t="str">
            <v>Evacuation des eaux pluviales</v>
          </cell>
          <cell r="C1180" t="str">
            <v>DAUPHIN FONTE</v>
          </cell>
          <cell r="D1180" t="str">
            <v>DAUPHIN FONTE PAVILLONNAIRE DROIT DIAM 100 LG 1 ML CREME</v>
          </cell>
        </row>
        <row r="1181">
          <cell r="A1181" t="str">
            <v>MCBE0187</v>
          </cell>
          <cell r="B1181" t="str">
            <v>Evacuation des eaux pluviales</v>
          </cell>
          <cell r="C1181" t="str">
            <v>DAUPHIN FONTE</v>
          </cell>
          <cell r="D1181" t="str">
            <v>DAUPHIN FONTE PAVILLONNAIRE DROIT DIAM 100 LG 1 ML CREME</v>
          </cell>
        </row>
        <row r="1182">
          <cell r="A1182" t="str">
            <v>MCBE0188</v>
          </cell>
          <cell r="B1182" t="str">
            <v>Evacuation des eaux pluviales</v>
          </cell>
          <cell r="C1182" t="str">
            <v>DAUPHIN FONTE</v>
          </cell>
          <cell r="D1182" t="str">
            <v>DAUPHIN FONTE PAVILLONNAIRE DROIT DIAM 100 LG 2 ML CREME</v>
          </cell>
        </row>
        <row r="1183">
          <cell r="A1183" t="str">
            <v>MCBE0188</v>
          </cell>
          <cell r="B1183" t="str">
            <v>Evacuation des eaux pluviales</v>
          </cell>
          <cell r="C1183" t="str">
            <v>DAUPHIN FONTE</v>
          </cell>
          <cell r="D1183" t="str">
            <v>DAUPHIN FONTE PAVILLONNAIRE DROIT DIAM 100 LG 2 ML CREME</v>
          </cell>
        </row>
        <row r="1184">
          <cell r="A1184" t="str">
            <v>MCBE0188</v>
          </cell>
          <cell r="B1184" t="str">
            <v>Evacuation des eaux pluviales</v>
          </cell>
          <cell r="C1184" t="str">
            <v>DAUPHIN FONTE</v>
          </cell>
          <cell r="D1184" t="str">
            <v>DAUPHIN FONTE PAVILLONNAIRE DROIT DIAM 100 LG 2 ML CREME</v>
          </cell>
        </row>
        <row r="1185">
          <cell r="A1185" t="str">
            <v>MCBE0188</v>
          </cell>
          <cell r="B1185" t="str">
            <v>Evacuation des eaux pluviales</v>
          </cell>
          <cell r="C1185" t="str">
            <v>DAUPHIN FONTE</v>
          </cell>
          <cell r="D1185" t="str">
            <v>DAUPHIN FONTE PAVILLONNAIRE DROIT DIAM 100 LG 2 ML CREME</v>
          </cell>
        </row>
        <row r="1186">
          <cell r="A1186" t="str">
            <v>MCBE0188</v>
          </cell>
          <cell r="B1186" t="str">
            <v>Evacuation des eaux pluviales</v>
          </cell>
          <cell r="C1186" t="str">
            <v>DAUPHIN FONTE</v>
          </cell>
          <cell r="D1186" t="str">
            <v>DAUPHIN FONTE PAVILLONNAIRE DROIT DIAM 100 LG 2 ML CREME</v>
          </cell>
        </row>
        <row r="1187">
          <cell r="A1187" t="str">
            <v>MCBE0189</v>
          </cell>
          <cell r="B1187" t="str">
            <v>Evacuation des eaux pluviales</v>
          </cell>
          <cell r="C1187" t="str">
            <v>DAUPHIN FONTE</v>
          </cell>
          <cell r="D1187" t="str">
            <v>DAUPHIN FONTE PAVILLONNAIRE DROIT DIAM 100 LG 2 ML ROUGE</v>
          </cell>
        </row>
        <row r="1188">
          <cell r="A1188" t="str">
            <v>MCBE0189</v>
          </cell>
          <cell r="B1188" t="str">
            <v>Evacuation des eaux pluviales</v>
          </cell>
          <cell r="C1188" t="str">
            <v>DAUPHIN FONTE</v>
          </cell>
          <cell r="D1188" t="str">
            <v>DAUPHIN FONTE PAVILLONNAIRE DROIT DIAM 100 LG 2 ML ROUGE</v>
          </cell>
        </row>
        <row r="1189">
          <cell r="A1189" t="str">
            <v>MCBE0189</v>
          </cell>
          <cell r="B1189" t="str">
            <v>Evacuation des eaux pluviales</v>
          </cell>
          <cell r="C1189" t="str">
            <v>DAUPHIN FONTE</v>
          </cell>
          <cell r="D1189" t="str">
            <v>DAUPHIN FONTE PAVILLONNAIRE DROIT DIAM 100 LG 2 ML ROUGE</v>
          </cell>
        </row>
        <row r="1190">
          <cell r="A1190" t="str">
            <v>MCBE0189</v>
          </cell>
          <cell r="B1190" t="str">
            <v>Evacuation des eaux pluviales</v>
          </cell>
          <cell r="C1190" t="str">
            <v>DAUPHIN FONTE</v>
          </cell>
          <cell r="D1190" t="str">
            <v>DAUPHIN FONTE PAVILLONNAIRE DROIT DIAM 100 LG 2 ML ROUGE</v>
          </cell>
        </row>
        <row r="1191">
          <cell r="A1191" t="str">
            <v>MCBE0189</v>
          </cell>
          <cell r="B1191" t="str">
            <v>Evacuation des eaux pluviales</v>
          </cell>
          <cell r="C1191" t="str">
            <v>DAUPHIN FONTE</v>
          </cell>
          <cell r="D1191" t="str">
            <v>DAUPHIN FONTE PAVILLONNAIRE DROIT DIAM 100 LG 2 ML ROUGE</v>
          </cell>
        </row>
        <row r="1192">
          <cell r="A1192" t="str">
            <v>MCBE0190</v>
          </cell>
          <cell r="B1192" t="str">
            <v>Evacuation des eaux pluviales</v>
          </cell>
          <cell r="C1192" t="str">
            <v>DAUPHIN FONTE</v>
          </cell>
          <cell r="D1192" t="str">
            <v>DAUPHIN FONTE PAVILLONNAIRE DROIT DIAM 125 LG 2 ML CREME</v>
          </cell>
        </row>
        <row r="1193">
          <cell r="A1193" t="str">
            <v>MCBE0190</v>
          </cell>
          <cell r="B1193" t="str">
            <v>Evacuation des eaux pluviales</v>
          </cell>
          <cell r="C1193" t="str">
            <v>DAUPHIN FONTE</v>
          </cell>
          <cell r="D1193" t="str">
            <v>DAUPHIN FONTE PAVILLONNAIRE DROIT DIAM 125 LG 2 ML CREME</v>
          </cell>
        </row>
        <row r="1194">
          <cell r="A1194" t="str">
            <v>MCBE0190</v>
          </cell>
          <cell r="B1194" t="str">
            <v>Evacuation des eaux pluviales</v>
          </cell>
          <cell r="C1194" t="str">
            <v>DAUPHIN FONTE</v>
          </cell>
          <cell r="D1194" t="str">
            <v>DAUPHIN FONTE PAVILLONNAIRE DROIT DIAM 125 LG 2 ML CREME</v>
          </cell>
        </row>
        <row r="1195">
          <cell r="A1195" t="str">
            <v>MCBE0190</v>
          </cell>
          <cell r="B1195" t="str">
            <v>Evacuation des eaux pluviales</v>
          </cell>
          <cell r="C1195" t="str">
            <v>DAUPHIN FONTE</v>
          </cell>
          <cell r="D1195" t="str">
            <v>DAUPHIN FONTE PAVILLONNAIRE DROIT DIAM 125 LG 2 ML CREME</v>
          </cell>
        </row>
        <row r="1196">
          <cell r="A1196" t="str">
            <v>MCBE0190</v>
          </cell>
          <cell r="B1196" t="str">
            <v>Evacuation des eaux pluviales</v>
          </cell>
          <cell r="C1196" t="str">
            <v>DAUPHIN FONTE</v>
          </cell>
          <cell r="D1196" t="str">
            <v>DAUPHIN FONTE PAVILLONNAIRE DROIT DIAM 125 LG 2 ML CREME</v>
          </cell>
        </row>
        <row r="1197">
          <cell r="A1197" t="str">
            <v>MCBE0191</v>
          </cell>
          <cell r="B1197" t="str">
            <v>Evacuation des eaux pluviales</v>
          </cell>
          <cell r="C1197" t="str">
            <v>DAUPHIN FONTE</v>
          </cell>
          <cell r="D1197" t="str">
            <v>DAUPHIN FONTE PAVILLONNAIRE DROIT DIAM 80 LG 1 ML CREME</v>
          </cell>
        </row>
        <row r="1198">
          <cell r="A1198" t="str">
            <v>MCBE0191</v>
          </cell>
          <cell r="B1198" t="str">
            <v>Evacuation des eaux pluviales</v>
          </cell>
          <cell r="C1198" t="str">
            <v>DAUPHIN FONTE</v>
          </cell>
          <cell r="D1198" t="str">
            <v>DAUPHIN FONTE PAVILLONNAIRE DROIT DIAM 80 LG 1 ML CREME</v>
          </cell>
        </row>
        <row r="1199">
          <cell r="A1199" t="str">
            <v>MCBE0191</v>
          </cell>
          <cell r="B1199" t="str">
            <v>Evacuation des eaux pluviales</v>
          </cell>
          <cell r="C1199" t="str">
            <v>DAUPHIN FONTE</v>
          </cell>
          <cell r="D1199" t="str">
            <v>DAUPHIN FONTE PAVILLONNAIRE DROIT DIAM 80 LG 1 ML CREME</v>
          </cell>
        </row>
        <row r="1200">
          <cell r="A1200" t="str">
            <v>MCBE0191</v>
          </cell>
          <cell r="B1200" t="str">
            <v>Evacuation des eaux pluviales</v>
          </cell>
          <cell r="C1200" t="str">
            <v>DAUPHIN FONTE</v>
          </cell>
          <cell r="D1200" t="str">
            <v>DAUPHIN FONTE PAVILLONNAIRE DROIT DIAM 80 LG 1 ML CREME</v>
          </cell>
        </row>
        <row r="1201">
          <cell r="A1201" t="str">
            <v>MCBE0191</v>
          </cell>
          <cell r="B1201" t="str">
            <v>Evacuation des eaux pluviales</v>
          </cell>
          <cell r="C1201" t="str">
            <v>DAUPHIN FONTE</v>
          </cell>
          <cell r="D1201" t="str">
            <v>DAUPHIN FONTE PAVILLONNAIRE DROIT DIAM 80 LG 1 ML CREME</v>
          </cell>
        </row>
        <row r="1202">
          <cell r="A1202" t="str">
            <v>MCBE0192</v>
          </cell>
          <cell r="B1202" t="str">
            <v>Evacuation des eaux pluviales</v>
          </cell>
          <cell r="C1202" t="str">
            <v>DAUPHIN ACIER GALVA</v>
          </cell>
          <cell r="D1202" t="str">
            <v>Dauphin galva Ø100 longueur1m</v>
          </cell>
        </row>
        <row r="1203">
          <cell r="A1203" t="str">
            <v>MCBE0192</v>
          </cell>
          <cell r="B1203" t="str">
            <v>Evacuation des eaux pluviales</v>
          </cell>
          <cell r="C1203" t="str">
            <v>DAUPHIN ACIER GALVA</v>
          </cell>
          <cell r="D1203" t="str">
            <v>Dauphin galva Ø100 longueur1m</v>
          </cell>
        </row>
        <row r="1204">
          <cell r="A1204" t="str">
            <v>MCBE0192</v>
          </cell>
          <cell r="B1204" t="str">
            <v>Evacuation des eaux pluviales</v>
          </cell>
          <cell r="C1204" t="str">
            <v>DAUPHIN ACIER GALVA</v>
          </cell>
          <cell r="D1204" t="str">
            <v>Dauphin galva Ø100 longueur1m</v>
          </cell>
        </row>
        <row r="1205">
          <cell r="A1205" t="str">
            <v>MCBE0192</v>
          </cell>
          <cell r="B1205" t="str">
            <v>Evacuation des eaux pluviales</v>
          </cell>
          <cell r="C1205" t="str">
            <v>DAUPHIN ACIER GALVA</v>
          </cell>
          <cell r="D1205" t="str">
            <v>Dauphin galva Ø100 longueur1m</v>
          </cell>
        </row>
        <row r="1206">
          <cell r="A1206" t="str">
            <v>MCBE0193</v>
          </cell>
          <cell r="B1206" t="str">
            <v>Evacuation des eaux pluviales</v>
          </cell>
          <cell r="C1206" t="str">
            <v>DAUPHIN ACIER GALVA</v>
          </cell>
          <cell r="D1206" t="str">
            <v>DAUPHIN DROIT - ACIER GALVA - D 100 - LG.2ML</v>
          </cell>
        </row>
        <row r="1207">
          <cell r="A1207" t="str">
            <v>MCBE0193</v>
          </cell>
          <cell r="B1207" t="str">
            <v>Evacuation des eaux pluviales</v>
          </cell>
          <cell r="C1207" t="str">
            <v>DAUPHIN ACIER GALVA</v>
          </cell>
          <cell r="D1207" t="str">
            <v>DAUPHIN DROIT - ACIER GALVA - D 100 - LG.2ML</v>
          </cell>
        </row>
        <row r="1208">
          <cell r="A1208" t="str">
            <v>MCBE0193</v>
          </cell>
          <cell r="B1208" t="str">
            <v>Evacuation des eaux pluviales</v>
          </cell>
          <cell r="C1208" t="str">
            <v>DAUPHIN ACIER GALVA</v>
          </cell>
          <cell r="D1208" t="str">
            <v>DAUPHIN DROIT - ACIER GALVA - D 100 - LG.2ML</v>
          </cell>
        </row>
        <row r="1209">
          <cell r="A1209" t="str">
            <v>MCBE0193</v>
          </cell>
          <cell r="B1209" t="str">
            <v>Evacuation des eaux pluviales</v>
          </cell>
          <cell r="C1209" t="str">
            <v>DAUPHIN ACIER GALVA</v>
          </cell>
          <cell r="D1209" t="str">
            <v>DAUPHIN DROIT - ACIER GALVA - D 100 - LG.2ML</v>
          </cell>
        </row>
        <row r="1210">
          <cell r="A1210" t="str">
            <v>MCBE0194</v>
          </cell>
          <cell r="B1210" t="str">
            <v>Evacuation des eaux pluviales</v>
          </cell>
          <cell r="C1210" t="str">
            <v>DAUPHIN ACIER GALVA</v>
          </cell>
          <cell r="D1210" t="str">
            <v>Dauphin galva droit 1m D120 anthra noir + colliers</v>
          </cell>
        </row>
        <row r="1211">
          <cell r="A1211" t="str">
            <v>MCBE0194</v>
          </cell>
          <cell r="B1211" t="str">
            <v>Evacuation des eaux pluviales</v>
          </cell>
          <cell r="C1211" t="str">
            <v>DAUPHIN ACIER GALVA</v>
          </cell>
          <cell r="D1211" t="str">
            <v>Dauphin galva droit 1m D120 anthra noir + colliers</v>
          </cell>
        </row>
        <row r="1212">
          <cell r="A1212" t="str">
            <v>MCBE0194</v>
          </cell>
          <cell r="B1212" t="str">
            <v>Evacuation des eaux pluviales</v>
          </cell>
          <cell r="C1212" t="str">
            <v>DAUPHIN ACIER GALVA</v>
          </cell>
          <cell r="D1212" t="str">
            <v>Dauphin galva droit 1m D120 anthra noir + colliers</v>
          </cell>
        </row>
        <row r="1213">
          <cell r="A1213" t="str">
            <v>MCBE0194</v>
          </cell>
          <cell r="B1213" t="str">
            <v>Evacuation des eaux pluviales</v>
          </cell>
          <cell r="C1213" t="str">
            <v>DAUPHIN ACIER GALVA</v>
          </cell>
          <cell r="D1213" t="str">
            <v>Dauphin galva droit 1m D120 anthra noir + colliers</v>
          </cell>
        </row>
        <row r="1214">
          <cell r="A1214" t="str">
            <v>MCBE0195</v>
          </cell>
          <cell r="B1214" t="str">
            <v>Evacuation des eaux pluviales</v>
          </cell>
          <cell r="C1214" t="str">
            <v>FOND DE GOUTTIERE PVC</v>
          </cell>
          <cell r="D1214" t="str">
            <v>FOND DE GOUTTIERE DROIT A COLLER TRADITION SABLE M.E.P</v>
          </cell>
        </row>
        <row r="1215">
          <cell r="A1215" t="str">
            <v>MCBE0195</v>
          </cell>
          <cell r="B1215" t="str">
            <v>Evacuation des eaux pluviales</v>
          </cell>
          <cell r="C1215" t="str">
            <v>FOND DE GOUTTIERE PVC</v>
          </cell>
          <cell r="D1215" t="str">
            <v>FOND DE GOUTTIERE DROIT A COLLER TRADITION SABLE M.E.P</v>
          </cell>
        </row>
        <row r="1216">
          <cell r="A1216" t="str">
            <v>MCBE0195</v>
          </cell>
          <cell r="B1216" t="str">
            <v>Evacuation des eaux pluviales</v>
          </cell>
          <cell r="C1216" t="str">
            <v>FOND DE GOUTTIERE PVC</v>
          </cell>
          <cell r="D1216" t="str">
            <v>FOND DE GOUTTIERE DROIT A COLLER TRADITION SABLE M.E.P</v>
          </cell>
        </row>
        <row r="1217">
          <cell r="A1217" t="str">
            <v>MCBE0195</v>
          </cell>
          <cell r="B1217" t="str">
            <v>Evacuation des eaux pluviales</v>
          </cell>
          <cell r="C1217" t="str">
            <v>FOND DE GOUTTIERE PVC</v>
          </cell>
          <cell r="D1217" t="str">
            <v>FOND DE GOUTTIERE DROIT A COLLER TRADITION SABLE M.E.P</v>
          </cell>
        </row>
        <row r="1218">
          <cell r="A1218" t="str">
            <v>MCBE0195</v>
          </cell>
          <cell r="B1218" t="str">
            <v>Evacuation des eaux pluviales</v>
          </cell>
          <cell r="C1218" t="str">
            <v>FOND DE GOUTTIERE PVC</v>
          </cell>
          <cell r="D1218" t="str">
            <v>FOND DE GOUTTIERE DROIT A COLLER TRADITION SABLE M.E.P</v>
          </cell>
        </row>
        <row r="1219">
          <cell r="A1219" t="str">
            <v>MCBE0195</v>
          </cell>
          <cell r="B1219" t="str">
            <v>Evacuation des eaux pluviales</v>
          </cell>
          <cell r="C1219" t="str">
            <v>FOND DE GOUTTIERE PVC</v>
          </cell>
          <cell r="D1219" t="str">
            <v>FOND DE GOUTTIERE DROIT A COLLER TRADITION SABLE M.E.P</v>
          </cell>
        </row>
        <row r="1220">
          <cell r="A1220" t="str">
            <v>MCBE0477</v>
          </cell>
          <cell r="B1220" t="str">
            <v>Evacuation des eaux pluviales</v>
          </cell>
          <cell r="C1220" t="str">
            <v>GOUTTIERE</v>
          </cell>
          <cell r="D1220" t="str">
            <v>Gouttière 1/2 ronde D25  PVC ANTHRACITE</v>
          </cell>
        </row>
        <row r="1221">
          <cell r="A1221" t="str">
            <v>MCBE0478</v>
          </cell>
          <cell r="B1221" t="str">
            <v>Evacuation des eaux pluviales</v>
          </cell>
          <cell r="C1221" t="str">
            <v>GOUTTIERE</v>
          </cell>
          <cell r="D1221" t="str">
            <v>Gouttière 1/2 ronde D25  PVC BLANC</v>
          </cell>
        </row>
        <row r="1222">
          <cell r="A1222" t="str">
            <v>MCBE0478</v>
          </cell>
          <cell r="B1222" t="str">
            <v>Evacuation des eaux pluviales</v>
          </cell>
          <cell r="C1222" t="str">
            <v>GOUTTIERE</v>
          </cell>
          <cell r="D1222" t="str">
            <v>Gouttière 1/2 ronde D25  PVC BLANC</v>
          </cell>
        </row>
        <row r="1223">
          <cell r="A1223" t="str">
            <v>MCBE0479</v>
          </cell>
          <cell r="B1223" t="str">
            <v>Evacuation des eaux pluviales</v>
          </cell>
          <cell r="C1223" t="str">
            <v>GOUTTIERE</v>
          </cell>
          <cell r="D1223" t="str">
            <v>Gouttière 1/2 ronde D25  PVC GRIS</v>
          </cell>
        </row>
        <row r="1224">
          <cell r="A1224" t="str">
            <v>MCBE0480</v>
          </cell>
          <cell r="B1224" t="str">
            <v>Evacuation des eaux pluviales</v>
          </cell>
          <cell r="C1224" t="str">
            <v>GOUTTIERE</v>
          </cell>
          <cell r="D1224" t="str">
            <v>Gouttière 1/2 ronde D25  PVC MARRON</v>
          </cell>
        </row>
        <row r="1225">
          <cell r="A1225" t="str">
            <v>MCBE0481</v>
          </cell>
          <cell r="B1225" t="str">
            <v>Evacuation des eaux pluviales</v>
          </cell>
          <cell r="C1225" t="str">
            <v>GOUTTIERE</v>
          </cell>
          <cell r="D1225" t="str">
            <v>Gouttière 1/2 ronde D25  PVC NOIR</v>
          </cell>
        </row>
        <row r="1226">
          <cell r="A1226" t="str">
            <v>MCBE0482</v>
          </cell>
          <cell r="B1226" t="str">
            <v>Evacuation des eaux pluviales</v>
          </cell>
          <cell r="C1226" t="str">
            <v>GOUTTIERE</v>
          </cell>
          <cell r="D1226" t="str">
            <v>Gouttière 1/2 ronde D25  PVC SABLE</v>
          </cell>
        </row>
        <row r="1227">
          <cell r="A1227" t="str">
            <v>MCBE0482</v>
          </cell>
          <cell r="B1227" t="str">
            <v>Evacuation des eaux pluviales</v>
          </cell>
          <cell r="C1227" t="str">
            <v>GOUTTIERE</v>
          </cell>
          <cell r="D1227" t="str">
            <v>Gouttière 1/2 ronde D25  PVC SABLE</v>
          </cell>
        </row>
        <row r="1228">
          <cell r="A1228" t="str">
            <v>MCBE0483</v>
          </cell>
          <cell r="B1228" t="str">
            <v>Evacuation des eaux pluviales</v>
          </cell>
          <cell r="C1228" t="str">
            <v>GOUTTIERE</v>
          </cell>
          <cell r="D1228" t="str">
            <v>Gouttière 1/2 ronde D33  PVC BLANC</v>
          </cell>
        </row>
        <row r="1229">
          <cell r="A1229" t="str">
            <v>MCBE0483</v>
          </cell>
          <cell r="B1229" t="str">
            <v>Evacuation des eaux pluviales</v>
          </cell>
          <cell r="C1229" t="str">
            <v>GOUTTIERE</v>
          </cell>
          <cell r="D1229" t="str">
            <v>Gouttière 1/2 ronde D33  PVC BLANC</v>
          </cell>
        </row>
        <row r="1230">
          <cell r="A1230" t="str">
            <v>MCBE0484</v>
          </cell>
          <cell r="B1230" t="str">
            <v>Evacuation des eaux pluviales</v>
          </cell>
          <cell r="C1230" t="str">
            <v>GOUTTIERE</v>
          </cell>
          <cell r="D1230" t="str">
            <v xml:space="preserve">Gouttière 1/2 ronde D33  PVC GRIS </v>
          </cell>
        </row>
        <row r="1231">
          <cell r="A1231" t="str">
            <v>MCBE0484</v>
          </cell>
          <cell r="B1231" t="str">
            <v>Evacuation des eaux pluviales</v>
          </cell>
          <cell r="C1231" t="str">
            <v>GOUTTIERE</v>
          </cell>
          <cell r="D1231" t="str">
            <v xml:space="preserve">Gouttière 1/2 ronde D33  PVC GRIS </v>
          </cell>
        </row>
        <row r="1232">
          <cell r="A1232" t="str">
            <v>MCBE0485</v>
          </cell>
          <cell r="B1232" t="str">
            <v>Evacuation des eaux pluviales</v>
          </cell>
          <cell r="C1232" t="str">
            <v>GOUTTIERE</v>
          </cell>
          <cell r="D1232" t="str">
            <v>Gouttière 1/2 ronde D33  PVC NOIR</v>
          </cell>
        </row>
        <row r="1233">
          <cell r="A1233" t="str">
            <v>MCBE0485</v>
          </cell>
          <cell r="B1233" t="str">
            <v>Evacuation des eaux pluviales</v>
          </cell>
          <cell r="C1233" t="str">
            <v>GOUTTIERE</v>
          </cell>
          <cell r="D1233" t="str">
            <v>Gouttière 1/2 ronde D33  PVC NOIR</v>
          </cell>
        </row>
        <row r="1234">
          <cell r="A1234" t="str">
            <v>MCBE0486</v>
          </cell>
          <cell r="B1234" t="str">
            <v>Evacuation des eaux pluviales</v>
          </cell>
          <cell r="C1234" t="str">
            <v>GOUTTIERE</v>
          </cell>
          <cell r="D1234" t="str">
            <v>Gouttière 1/2 ronde D33  PVC SABLE</v>
          </cell>
        </row>
        <row r="1235">
          <cell r="A1235" t="str">
            <v>MCBE0486</v>
          </cell>
          <cell r="B1235" t="str">
            <v>Evacuation des eaux pluviales</v>
          </cell>
          <cell r="C1235" t="str">
            <v>GOUTTIERE</v>
          </cell>
          <cell r="D1235" t="str">
            <v>Gouttière 1/2 ronde D33  PVC SABLE</v>
          </cell>
        </row>
        <row r="1236">
          <cell r="A1236" t="str">
            <v>MCBE0460</v>
          </cell>
          <cell r="B1236" t="str">
            <v>Fixation</v>
          </cell>
          <cell r="C1236" t="str">
            <v>fixation sur panne métallique</v>
          </cell>
          <cell r="D1236" t="str">
            <v>GOLDOVIS 15 TH10 ZBJ 6x35 (500p)</v>
          </cell>
        </row>
        <row r="1237">
          <cell r="A1237" t="str">
            <v>MCBE0460</v>
          </cell>
          <cell r="B1237" t="str">
            <v>Fixation</v>
          </cell>
          <cell r="C1237" t="str">
            <v>fixation sur panne métallique</v>
          </cell>
          <cell r="D1237" t="str">
            <v>GOLDOVIS 15 TH10 ZBJ 6x35 (500p)</v>
          </cell>
        </row>
        <row r="1238">
          <cell r="A1238" t="str">
            <v>MCBE0460</v>
          </cell>
          <cell r="B1238" t="str">
            <v>Fixation</v>
          </cell>
          <cell r="C1238" t="str">
            <v>fixation sur panne métallique</v>
          </cell>
          <cell r="D1238" t="str">
            <v>GOLDOVIS 15 TH10 ZBJ 6x35 (500p)</v>
          </cell>
        </row>
        <row r="1239">
          <cell r="A1239" t="str">
            <v>MCBE0460</v>
          </cell>
          <cell r="B1239" t="str">
            <v>Fixation</v>
          </cell>
          <cell r="C1239" t="str">
            <v>fixation sur panne métallique</v>
          </cell>
          <cell r="D1239" t="str">
            <v>GOLDOVIS 15 TH10 ZBJ 6x35 (500p)</v>
          </cell>
        </row>
        <row r="1240">
          <cell r="A1240" t="str">
            <v>MCBE0460</v>
          </cell>
          <cell r="B1240" t="str">
            <v>Fixation</v>
          </cell>
          <cell r="C1240" t="str">
            <v>fixation sur panne métallique</v>
          </cell>
          <cell r="D1240" t="str">
            <v>GOLDOVIS 15 TH10 ZBJ 6x35 (500p)</v>
          </cell>
        </row>
        <row r="1241">
          <cell r="A1241" t="str">
            <v>MCBE0460</v>
          </cell>
          <cell r="B1241" t="str">
            <v>Fixation</v>
          </cell>
          <cell r="C1241" t="str">
            <v>fixation sur panne métallique</v>
          </cell>
          <cell r="D1241" t="str">
            <v>GOLDOVIS 15 TH10 ZBJ 6x35 (500p)</v>
          </cell>
        </row>
        <row r="1242">
          <cell r="A1242" t="str">
            <v>MCBE0461</v>
          </cell>
          <cell r="B1242" t="str">
            <v>Fixation</v>
          </cell>
          <cell r="C1242" t="str">
            <v>fixation sur panne métallique</v>
          </cell>
          <cell r="D1242" t="str">
            <v>GOLDOVIS 6 TH10 ZBJ 6.3x22 (500p)</v>
          </cell>
        </row>
        <row r="1243">
          <cell r="A1243" t="str">
            <v>MCBE0461</v>
          </cell>
          <cell r="B1243" t="str">
            <v>Fixation</v>
          </cell>
          <cell r="C1243" t="str">
            <v>fixation sur panne métallique</v>
          </cell>
          <cell r="D1243" t="str">
            <v>GOLDOVIS 6 TH10 ZBJ 6.3x22 (500p)</v>
          </cell>
        </row>
        <row r="1244">
          <cell r="A1244" t="str">
            <v>MCBE0461</v>
          </cell>
          <cell r="B1244" t="str">
            <v>Fixation</v>
          </cell>
          <cell r="C1244" t="str">
            <v>fixation sur panne métallique</v>
          </cell>
          <cell r="D1244" t="str">
            <v>GOLDOVIS 6 TH10 ZBJ 6.3x22 (500p)</v>
          </cell>
        </row>
        <row r="1245">
          <cell r="A1245" t="str">
            <v>MCBE0461</v>
          </cell>
          <cell r="B1245" t="str">
            <v>Fixation</v>
          </cell>
          <cell r="C1245" t="str">
            <v>fixation sur panne métallique</v>
          </cell>
          <cell r="D1245" t="str">
            <v>GOLDOVIS 6 TH10 ZBJ 6.3x22 (500p)</v>
          </cell>
        </row>
        <row r="1246">
          <cell r="A1246" t="str">
            <v>MCBE0461</v>
          </cell>
          <cell r="B1246" t="str">
            <v>Fixation</v>
          </cell>
          <cell r="C1246" t="str">
            <v>fixation sur panne métallique</v>
          </cell>
          <cell r="D1246" t="str">
            <v>GOLDOVIS 6 TH10 ZBJ 6.3x22 (500p)</v>
          </cell>
        </row>
        <row r="1247">
          <cell r="A1247" t="str">
            <v>MCBE0461</v>
          </cell>
          <cell r="B1247" t="str">
            <v>Fixation</v>
          </cell>
          <cell r="C1247" t="str">
            <v>fixation sur panne métallique</v>
          </cell>
          <cell r="D1247" t="str">
            <v>GOLDOVIS 6 TH10 ZBJ 6.3x22 (500p)</v>
          </cell>
        </row>
        <row r="1248">
          <cell r="A1248" t="str">
            <v>MCBE0462</v>
          </cell>
          <cell r="B1248" t="str">
            <v>Fixation</v>
          </cell>
          <cell r="C1248" t="str">
            <v>fixation sur panne métallique</v>
          </cell>
          <cell r="D1248" t="str">
            <v>GOLDOVIS 12 TH8 ZBJ 5.5x32 (500p)</v>
          </cell>
        </row>
        <row r="1249">
          <cell r="A1249" t="str">
            <v>MCBE0462</v>
          </cell>
          <cell r="B1249" t="str">
            <v>Fixation</v>
          </cell>
          <cell r="C1249" t="str">
            <v>fixation sur panne métallique</v>
          </cell>
          <cell r="D1249" t="str">
            <v>GOLDOVIS 12 TH8 ZBJ 5.5x32 (500p)</v>
          </cell>
        </row>
        <row r="1250">
          <cell r="A1250" t="str">
            <v>MCBE0462</v>
          </cell>
          <cell r="B1250" t="str">
            <v>Fixation</v>
          </cell>
          <cell r="C1250" t="str">
            <v>fixation sur panne métallique</v>
          </cell>
          <cell r="D1250" t="str">
            <v>GOLDOVIS 12 TH8 ZBJ 5.5x32 (500p)</v>
          </cell>
        </row>
        <row r="1251">
          <cell r="A1251" t="str">
            <v>MCBE0462</v>
          </cell>
          <cell r="B1251" t="str">
            <v>Fixation</v>
          </cell>
          <cell r="C1251" t="str">
            <v>fixation sur panne métallique</v>
          </cell>
          <cell r="D1251" t="str">
            <v>GOLDOVIS 12 TH8 ZBJ 5.5x32 (500p)</v>
          </cell>
        </row>
        <row r="1252">
          <cell r="A1252" t="str">
            <v>MCBE0462</v>
          </cell>
          <cell r="B1252" t="str">
            <v>Fixation</v>
          </cell>
          <cell r="C1252" t="str">
            <v>fixation sur panne métallique</v>
          </cell>
          <cell r="D1252" t="str">
            <v>GOLDOVIS 12 TH8 ZBJ 5.5x32 (500p)</v>
          </cell>
        </row>
        <row r="1253">
          <cell r="A1253" t="str">
            <v>MCBE0463</v>
          </cell>
          <cell r="B1253" t="str">
            <v>Fixation</v>
          </cell>
          <cell r="C1253" t="str">
            <v>fixation sur panne bois</v>
          </cell>
          <cell r="D1253" t="str">
            <v>Goldovis 6 ZBJ 6,3x22 condt (500p)</v>
          </cell>
        </row>
        <row r="1254">
          <cell r="A1254" t="str">
            <v>MCBE0463</v>
          </cell>
          <cell r="B1254" t="str">
            <v>Fixation</v>
          </cell>
          <cell r="C1254" t="str">
            <v>fixation sur panne bois</v>
          </cell>
          <cell r="D1254" t="str">
            <v>Goldovis 6 ZBJ 6,3x22 condt (500p)</v>
          </cell>
        </row>
        <row r="1255">
          <cell r="A1255" t="str">
            <v>MCBE0463</v>
          </cell>
          <cell r="B1255" t="str">
            <v>Fixation</v>
          </cell>
          <cell r="C1255" t="str">
            <v>fixation sur panne bois</v>
          </cell>
          <cell r="D1255" t="str">
            <v>Goldovis 6 ZBJ 6,3x22 condt (500p)</v>
          </cell>
        </row>
        <row r="1256">
          <cell r="A1256" t="str">
            <v>MCBE0463</v>
          </cell>
          <cell r="B1256" t="str">
            <v>Fixation</v>
          </cell>
          <cell r="C1256" t="str">
            <v>fixation sur panne bois</v>
          </cell>
          <cell r="D1256" t="str">
            <v>Goldovis 6 ZBJ 6,3x22 condt (500p)</v>
          </cell>
        </row>
        <row r="1257">
          <cell r="A1257" t="str">
            <v>MCBE0463</v>
          </cell>
          <cell r="B1257" t="str">
            <v>Fixation</v>
          </cell>
          <cell r="C1257" t="str">
            <v>fixation sur panne bois</v>
          </cell>
          <cell r="D1257" t="str">
            <v>Goldovis 6 ZBJ 6,3x22 condt (500p)</v>
          </cell>
        </row>
        <row r="1258">
          <cell r="A1258" t="str">
            <v>MCBE0464</v>
          </cell>
          <cell r="B1258" t="str">
            <v>Fixation</v>
          </cell>
          <cell r="C1258" t="str">
            <v>Vis pour plateau de bardage</v>
          </cell>
          <cell r="D1258" t="str">
            <v>COLORVIS COUTURE 4.8 X 20  PAQUET DE  100 RAL 7016</v>
          </cell>
        </row>
        <row r="1259">
          <cell r="A1259" t="str">
            <v>MCBE0464</v>
          </cell>
          <cell r="B1259" t="str">
            <v>Fixation</v>
          </cell>
          <cell r="C1259" t="str">
            <v>Vis pour plateau de bardage</v>
          </cell>
          <cell r="D1259" t="str">
            <v>COLORVIS COUTURE 4.8 X 20  PAQUET DE  100 RAL 7016</v>
          </cell>
        </row>
        <row r="1260">
          <cell r="A1260" t="str">
            <v>MCBE0464</v>
          </cell>
          <cell r="B1260" t="str">
            <v>Fixation</v>
          </cell>
          <cell r="C1260" t="str">
            <v>Vis pour plateau de bardage</v>
          </cell>
          <cell r="D1260" t="str">
            <v>COLORVIS COUTURE 4.8 X 20  PAQUET DE  100 RAL 7016</v>
          </cell>
        </row>
        <row r="1261">
          <cell r="A1261" t="str">
            <v>MCBE0464</v>
          </cell>
          <cell r="B1261" t="str">
            <v>Fixation</v>
          </cell>
          <cell r="C1261" t="str">
            <v>Vis pour plateau de bardage</v>
          </cell>
          <cell r="D1261" t="str">
            <v>COLORVIS COUTURE 4.8 X 20  PAQUET DE  100 RAL 7016</v>
          </cell>
        </row>
        <row r="1262">
          <cell r="A1262" t="str">
            <v>MCBE0464</v>
          </cell>
          <cell r="B1262" t="str">
            <v>Fixation</v>
          </cell>
          <cell r="C1262" t="str">
            <v>Vis pour plateau de bardage</v>
          </cell>
          <cell r="D1262" t="str">
            <v>COLORVIS COUTURE 4.8 X 20  PAQUET DE  100 RAL 7016</v>
          </cell>
        </row>
        <row r="1263">
          <cell r="A1263" t="str">
            <v>MCBE0464</v>
          </cell>
          <cell r="B1263" t="str">
            <v>Fixation</v>
          </cell>
          <cell r="C1263" t="str">
            <v>Vis pour plateau de bardage</v>
          </cell>
          <cell r="D1263" t="str">
            <v>COLORVIS COUTURE 4.8 X 20  PAQUET DE  100 RAL 7016</v>
          </cell>
        </row>
        <row r="1264">
          <cell r="A1264" t="str">
            <v>MCBE0465</v>
          </cell>
          <cell r="B1264" t="str">
            <v>Fixation</v>
          </cell>
          <cell r="C1264" t="str">
            <v>Vis pour plateau de bardage</v>
          </cell>
          <cell r="D1264" t="str">
            <v>COLORVIS COUTURE 4.8 X 20  PAQUET DE  100 RAL 9006</v>
          </cell>
        </row>
        <row r="1265">
          <cell r="A1265" t="str">
            <v>MCBE0465</v>
          </cell>
          <cell r="B1265" t="str">
            <v>Fixation</v>
          </cell>
          <cell r="C1265" t="str">
            <v>Vis pour plateau de bardage</v>
          </cell>
          <cell r="D1265" t="str">
            <v>COLORVIS COUTURE 4.8 X 20  PAQUET DE  100 RAL 9006</v>
          </cell>
        </row>
        <row r="1266">
          <cell r="A1266" t="str">
            <v>MCBE0465</v>
          </cell>
          <cell r="B1266" t="str">
            <v>Fixation</v>
          </cell>
          <cell r="C1266" t="str">
            <v>Vis pour plateau de bardage</v>
          </cell>
          <cell r="D1266" t="str">
            <v>COLORVIS COUTURE 4.8 X 20  PAQUET DE  100 RAL 9006</v>
          </cell>
        </row>
        <row r="1267">
          <cell r="A1267" t="str">
            <v>MCBE0465</v>
          </cell>
          <cell r="B1267" t="str">
            <v>Fixation</v>
          </cell>
          <cell r="C1267" t="str">
            <v>Vis pour plateau de bardage</v>
          </cell>
          <cell r="D1267" t="str">
            <v>COLORVIS COUTURE 4.8 X 20  PAQUET DE  100 RAL 9006</v>
          </cell>
        </row>
        <row r="1268">
          <cell r="A1268" t="str">
            <v>MCBE0465</v>
          </cell>
          <cell r="B1268" t="str">
            <v>Fixation</v>
          </cell>
          <cell r="C1268" t="str">
            <v>Vis pour plateau de bardage</v>
          </cell>
          <cell r="D1268" t="str">
            <v>COLORVIS COUTURE 4.8 X 20  PAQUET DE  100 RAL 9006</v>
          </cell>
        </row>
        <row r="1269">
          <cell r="A1269" t="str">
            <v>MCBE0465</v>
          </cell>
          <cell r="B1269" t="str">
            <v>Fixation</v>
          </cell>
          <cell r="C1269" t="str">
            <v>Vis pour plateau de bardage</v>
          </cell>
          <cell r="D1269" t="str">
            <v>COLORVIS COUTURE 4.8 X 20  PAQUET DE  100 RAL 9006</v>
          </cell>
        </row>
        <row r="1270">
          <cell r="A1270" t="str">
            <v>MCBE0466</v>
          </cell>
          <cell r="B1270" t="str">
            <v>Fixation</v>
          </cell>
          <cell r="C1270" t="str">
            <v>Vis pour plateau de bardage</v>
          </cell>
          <cell r="D1270" t="str">
            <v>COLORVIS COUTURE 4.8 X 20  PAQUET DE  100 RAL 9010</v>
          </cell>
        </row>
        <row r="1271">
          <cell r="A1271" t="str">
            <v>MCBE0466</v>
          </cell>
          <cell r="B1271" t="str">
            <v>Fixation</v>
          </cell>
          <cell r="C1271" t="str">
            <v>Vis pour plateau de bardage</v>
          </cell>
          <cell r="D1271" t="str">
            <v>COLORVIS COUTURE 4.8 X 20  PAQUET DE  100 RAL 9010</v>
          </cell>
        </row>
        <row r="1272">
          <cell r="A1272" t="str">
            <v>MCBE0466</v>
          </cell>
          <cell r="B1272" t="str">
            <v>Fixation</v>
          </cell>
          <cell r="C1272" t="str">
            <v>Vis pour plateau de bardage</v>
          </cell>
          <cell r="D1272" t="str">
            <v>COLORVIS COUTURE 4.8 X 20  PAQUET DE  100 RAL 9010</v>
          </cell>
        </row>
        <row r="1273">
          <cell r="A1273" t="str">
            <v>MCBE0466</v>
          </cell>
          <cell r="B1273" t="str">
            <v>Fixation</v>
          </cell>
          <cell r="C1273" t="str">
            <v>Vis pour plateau de bardage</v>
          </cell>
          <cell r="D1273" t="str">
            <v>COLORVIS COUTURE 4.8 X 20  PAQUET DE  100 RAL 9010</v>
          </cell>
        </row>
        <row r="1274">
          <cell r="A1274" t="str">
            <v>MCBE0466</v>
          </cell>
          <cell r="B1274" t="str">
            <v>Fixation</v>
          </cell>
          <cell r="C1274" t="str">
            <v>Vis pour plateau de bardage</v>
          </cell>
          <cell r="D1274" t="str">
            <v>COLORVIS COUTURE 4.8 X 20  PAQUET DE  100 RAL 9010</v>
          </cell>
        </row>
        <row r="1275">
          <cell r="A1275" t="str">
            <v>MCBE0466</v>
          </cell>
          <cell r="B1275" t="str">
            <v>Fixation</v>
          </cell>
          <cell r="C1275" t="str">
            <v>Vis pour plateau de bardage</v>
          </cell>
          <cell r="D1275" t="str">
            <v>COLORVIS COUTURE 4.8 X 20  PAQUET DE  100 RAL 9010</v>
          </cell>
        </row>
        <row r="1276">
          <cell r="A1276" t="str">
            <v>MCBE0467</v>
          </cell>
          <cell r="B1276" t="str">
            <v>Fixation</v>
          </cell>
          <cell r="C1276" t="str">
            <v xml:space="preserve">Patte pour couverture à joint debout </v>
          </cell>
          <cell r="D1276" t="str">
            <v>Patte coulissante MONOVIS INOX  LONG 116MM - BOITE DE 100</v>
          </cell>
        </row>
        <row r="1277">
          <cell r="A1277" t="str">
            <v>MCBE0467</v>
          </cell>
          <cell r="B1277" t="str">
            <v>Fixation</v>
          </cell>
          <cell r="C1277" t="str">
            <v xml:space="preserve">Patte pour couverture à joint debout </v>
          </cell>
          <cell r="D1277" t="str">
            <v>Patte coulissante MONOVIS INOX  LONG 116MM - BOITE DE 100</v>
          </cell>
        </row>
        <row r="1278">
          <cell r="A1278" t="str">
            <v>MCBE0467</v>
          </cell>
          <cell r="B1278" t="str">
            <v>Fixation</v>
          </cell>
          <cell r="C1278" t="str">
            <v xml:space="preserve">Patte pour couverture à joint debout </v>
          </cell>
          <cell r="D1278" t="str">
            <v>Patte coulissante MONOVIS INOX  LONG 116MM - BOITE DE 100</v>
          </cell>
        </row>
        <row r="1279">
          <cell r="A1279" t="str">
            <v>MCBE0467</v>
          </cell>
          <cell r="B1279" t="str">
            <v>Fixation</v>
          </cell>
          <cell r="C1279" t="str">
            <v xml:space="preserve">Patte pour couverture à joint debout </v>
          </cell>
          <cell r="D1279" t="str">
            <v>Patte coulissante MONOVIS INOX  LONG 116MM - BOITE DE 100</v>
          </cell>
        </row>
        <row r="1280">
          <cell r="A1280" t="str">
            <v>MCBE0468</v>
          </cell>
          <cell r="B1280" t="str">
            <v>Fixation</v>
          </cell>
          <cell r="C1280" t="str">
            <v xml:space="preserve">Patte pour couverture à joint debout </v>
          </cell>
          <cell r="D1280" t="str">
            <v>Patte coulissante MONOVIS  INOX DIAM 6 MM - PRIX BOITE DE 100</v>
          </cell>
        </row>
        <row r="1281">
          <cell r="A1281" t="str">
            <v>MCBE0468</v>
          </cell>
          <cell r="B1281" t="str">
            <v>Fixation</v>
          </cell>
          <cell r="C1281" t="str">
            <v xml:space="preserve">Patte pour couverture à joint debout </v>
          </cell>
          <cell r="D1281" t="str">
            <v>Patte coulissante MONOVIS  INOX DIAM 6 MM - PRIX BOITE DE 100</v>
          </cell>
        </row>
        <row r="1282">
          <cell r="A1282" t="str">
            <v>MCBE0468</v>
          </cell>
          <cell r="B1282" t="str">
            <v>Fixation</v>
          </cell>
          <cell r="C1282" t="str">
            <v xml:space="preserve">Patte pour couverture à joint debout </v>
          </cell>
          <cell r="D1282" t="str">
            <v>Patte coulissante MONOVIS  INOX DIAM 6 MM - PRIX BOITE DE 100</v>
          </cell>
        </row>
        <row r="1283">
          <cell r="A1283" t="str">
            <v>MCBE0468</v>
          </cell>
          <cell r="B1283" t="str">
            <v>Fixation</v>
          </cell>
          <cell r="C1283" t="str">
            <v xml:space="preserve">Patte pour couverture à joint debout </v>
          </cell>
          <cell r="D1283" t="str">
            <v>Patte coulissante MONOVIS  INOX DIAM 6 MM - PRIX BOITE DE 100</v>
          </cell>
        </row>
        <row r="1284">
          <cell r="A1284" t="str">
            <v>MCBE0468</v>
          </cell>
          <cell r="B1284" t="str">
            <v>Fixation</v>
          </cell>
          <cell r="C1284" t="str">
            <v xml:space="preserve">Patte pour couverture à joint debout </v>
          </cell>
          <cell r="D1284" t="str">
            <v>Patte coulissante MONOVIS  INOX DIAM 6 MM - PRIX BOITE DE 100</v>
          </cell>
        </row>
        <row r="1285">
          <cell r="A1285" t="str">
            <v>MCBE0469</v>
          </cell>
          <cell r="B1285" t="str">
            <v>Fixation</v>
          </cell>
          <cell r="C1285" t="str">
            <v>Patte pour rive</v>
          </cell>
          <cell r="D1285" t="str">
            <v>Patte coulissante INOX  AISI 304 18/10  PRIX A LA BTE DE 250</v>
          </cell>
        </row>
        <row r="1286">
          <cell r="A1286" t="str">
            <v>MCBE0469</v>
          </cell>
          <cell r="B1286" t="str">
            <v>Fixation</v>
          </cell>
          <cell r="C1286" t="str">
            <v>Patte pour rive</v>
          </cell>
          <cell r="D1286" t="str">
            <v>Patte coulissante INOX  AISI 304 18/10  PRIX A LA BTE DE 250</v>
          </cell>
        </row>
        <row r="1287">
          <cell r="A1287" t="str">
            <v>MCBE0469</v>
          </cell>
          <cell r="B1287" t="str">
            <v>Fixation</v>
          </cell>
          <cell r="C1287" t="str">
            <v>Patte pour rive</v>
          </cell>
          <cell r="D1287" t="str">
            <v>Patte coulissante INOX  AISI 304 18/10  PRIX A LA BTE DE 250</v>
          </cell>
        </row>
        <row r="1288">
          <cell r="A1288" t="str">
            <v>MCBE0469</v>
          </cell>
          <cell r="B1288" t="str">
            <v>Fixation</v>
          </cell>
          <cell r="C1288" t="str">
            <v>Patte pour rive</v>
          </cell>
          <cell r="D1288" t="str">
            <v>Patte coulissante INOX  AISI 304 18/10  PRIX A LA BTE DE 250</v>
          </cell>
        </row>
        <row r="1289">
          <cell r="A1289" t="str">
            <v>MCBE0469</v>
          </cell>
          <cell r="B1289" t="str">
            <v>Fixation</v>
          </cell>
          <cell r="C1289" t="str">
            <v>Patte pour rive</v>
          </cell>
          <cell r="D1289" t="str">
            <v>Patte coulissante INOX  AISI 304 18/10  PRIX A LA BTE DE 250</v>
          </cell>
        </row>
        <row r="1290">
          <cell r="A1290" t="str">
            <v>MCBE0470</v>
          </cell>
          <cell r="B1290" t="str">
            <v>Fixation</v>
          </cell>
          <cell r="C1290" t="str">
            <v xml:space="preserve">Patte pour couverture ventilée à joint debout </v>
          </cell>
          <cell r="D1290" t="str">
            <v>Patte coulissante VM PROFIL 1 (3 POINTS)</v>
          </cell>
        </row>
        <row r="1291">
          <cell r="A1291" t="str">
            <v>MCBE0470</v>
          </cell>
          <cell r="B1291" t="str">
            <v>Fixation</v>
          </cell>
          <cell r="C1291" t="str">
            <v xml:space="preserve">Patte pour couverture ventilée à joint debout </v>
          </cell>
          <cell r="D1291" t="str">
            <v>Patte coulissante VM PROFIL 1 (3 POINTS)</v>
          </cell>
        </row>
        <row r="1292">
          <cell r="A1292" t="str">
            <v>MCBE0470</v>
          </cell>
          <cell r="B1292" t="str">
            <v>Fixation</v>
          </cell>
          <cell r="C1292" t="str">
            <v xml:space="preserve">Patte pour couverture ventilée à joint debout </v>
          </cell>
          <cell r="D1292" t="str">
            <v>Patte coulissante VM PROFIL 1 (3 POINTS)</v>
          </cell>
        </row>
        <row r="1293">
          <cell r="A1293" t="str">
            <v>MCBE0470</v>
          </cell>
          <cell r="B1293" t="str">
            <v>Fixation</v>
          </cell>
          <cell r="C1293" t="str">
            <v xml:space="preserve">Patte pour couverture ventilée à joint debout </v>
          </cell>
          <cell r="D1293" t="str">
            <v>Patte coulissante VM PROFIL 1 (3 POINTS)</v>
          </cell>
        </row>
        <row r="1294">
          <cell r="A1294" t="str">
            <v>MCBE0470</v>
          </cell>
          <cell r="B1294" t="str">
            <v>Fixation</v>
          </cell>
          <cell r="C1294" t="str">
            <v xml:space="preserve">Patte pour couverture ventilée à joint debout </v>
          </cell>
          <cell r="D1294" t="str">
            <v>Patte coulissante VM PROFIL 1 (3 POINTS)</v>
          </cell>
        </row>
        <row r="1295">
          <cell r="A1295" t="str">
            <v>MCBE0471</v>
          </cell>
          <cell r="B1295" t="str">
            <v>Fixation</v>
          </cell>
          <cell r="C1295" t="str">
            <v>pipeco</v>
          </cell>
          <cell r="D1295" t="str">
            <v xml:space="preserve">Pipeco EPDM N° 4 75mm/150mm Embase Carrée </v>
          </cell>
        </row>
        <row r="1296">
          <cell r="A1296" t="str">
            <v>MCBE0471</v>
          </cell>
          <cell r="B1296" t="str">
            <v>Fixation</v>
          </cell>
          <cell r="C1296" t="str">
            <v>pipeco</v>
          </cell>
          <cell r="D1296" t="str">
            <v xml:space="preserve">Pipeco EPDM N° 4 75mm/150mm Embase Carrée </v>
          </cell>
        </row>
        <row r="1297">
          <cell r="A1297" t="str">
            <v>MCBE0471</v>
          </cell>
          <cell r="B1297" t="str">
            <v>Fixation</v>
          </cell>
          <cell r="C1297" t="str">
            <v>pipeco</v>
          </cell>
          <cell r="D1297" t="str">
            <v>Pipeco EPDM N° 4 75mm/150mm Embase Carrée</v>
          </cell>
        </row>
        <row r="1298">
          <cell r="A1298" t="str">
            <v>MCBE0471</v>
          </cell>
          <cell r="B1298" t="str">
            <v>Fixation</v>
          </cell>
          <cell r="C1298" t="str">
            <v>pipeco</v>
          </cell>
          <cell r="D1298" t="str">
            <v>Pipeco EPDM N° 4 75mm/150mm Embase Carrée</v>
          </cell>
        </row>
        <row r="1299">
          <cell r="A1299" t="str">
            <v>MCBE0471</v>
          </cell>
          <cell r="B1299" t="str">
            <v>Fixation</v>
          </cell>
          <cell r="C1299" t="str">
            <v>pipeco</v>
          </cell>
          <cell r="D1299" t="str">
            <v xml:space="preserve">Pipeco EPDM N° 4 75mm/150mm Embase Carrée </v>
          </cell>
        </row>
        <row r="1300">
          <cell r="A1300" t="str">
            <v>MCBE0471</v>
          </cell>
          <cell r="B1300" t="str">
            <v>Fixation</v>
          </cell>
          <cell r="C1300" t="str">
            <v>pipeco</v>
          </cell>
          <cell r="D1300" t="str">
            <v xml:space="preserve">Pipeco EPDM N° 4 75mm/150mm Embase Carrée </v>
          </cell>
        </row>
        <row r="1301">
          <cell r="A1301" t="str">
            <v>MCBE0472</v>
          </cell>
          <cell r="B1301" t="str">
            <v>Fixation</v>
          </cell>
          <cell r="C1301" t="str">
            <v>pipeco</v>
          </cell>
          <cell r="D1301" t="str">
            <v xml:space="preserve">FX001124 Pipeco EPDM N° 6 125mm/230mm Embase Carrée </v>
          </cell>
        </row>
        <row r="1302">
          <cell r="A1302" t="str">
            <v>MCBE0472</v>
          </cell>
          <cell r="B1302" t="str">
            <v>Fixation</v>
          </cell>
          <cell r="C1302" t="str">
            <v>pipeco</v>
          </cell>
          <cell r="D1302" t="str">
            <v xml:space="preserve">FX001124 Pipeco EPDM N° 6 125mm/230mm Embase Carrée </v>
          </cell>
        </row>
        <row r="1303">
          <cell r="A1303" t="str">
            <v>MCBE0472</v>
          </cell>
          <cell r="B1303" t="str">
            <v>Fixation</v>
          </cell>
          <cell r="C1303" t="str">
            <v>pipeco</v>
          </cell>
          <cell r="D1303" t="str">
            <v>FX001124 Pipeco EPDM N° 6 125mm/230mm Embase Carrée</v>
          </cell>
        </row>
        <row r="1304">
          <cell r="A1304" t="str">
            <v>MCBE0472</v>
          </cell>
          <cell r="B1304" t="str">
            <v>Fixation</v>
          </cell>
          <cell r="C1304" t="str">
            <v>pipeco</v>
          </cell>
          <cell r="D1304" t="str">
            <v xml:space="preserve">FX001124 Pipeco EPDM N° 6 125mm/230mm Embase Carrée </v>
          </cell>
        </row>
        <row r="1305">
          <cell r="A1305" t="str">
            <v>MCBE0472</v>
          </cell>
          <cell r="B1305" t="str">
            <v>Fixation</v>
          </cell>
          <cell r="C1305" t="str">
            <v>pipeco</v>
          </cell>
          <cell r="D1305" t="str">
            <v xml:space="preserve">FX001124 Pipeco EPDM N° 6 125mm/230mm Embase Carrée </v>
          </cell>
        </row>
        <row r="1306">
          <cell r="A1306" t="str">
            <v>MCBE0472</v>
          </cell>
          <cell r="B1306" t="str">
            <v>Fixation</v>
          </cell>
          <cell r="C1306" t="str">
            <v>pipeco</v>
          </cell>
          <cell r="D1306" t="str">
            <v xml:space="preserve">FX001124 Pipeco EPDM N° 6 125mm/230mm Embase Carrée </v>
          </cell>
        </row>
        <row r="1307">
          <cell r="A1307" t="str">
            <v>MCBE0473</v>
          </cell>
          <cell r="B1307" t="str">
            <v>Fixation</v>
          </cell>
          <cell r="C1307" t="str">
            <v>pipeco</v>
          </cell>
          <cell r="D1307" t="str">
            <v xml:space="preserve">FX001129 Pipeco EPDM N° 7 150mm/280mm Embase Carrée </v>
          </cell>
        </row>
        <row r="1308">
          <cell r="A1308" t="str">
            <v>MCBE0473</v>
          </cell>
          <cell r="B1308" t="str">
            <v>Fixation</v>
          </cell>
          <cell r="C1308" t="str">
            <v>pipeco</v>
          </cell>
          <cell r="D1308" t="str">
            <v>FX001129 Pipeco EPDM N° 7 150mm/280mm Embase Carrée</v>
          </cell>
        </row>
        <row r="1309">
          <cell r="A1309" t="str">
            <v>MCBE0473</v>
          </cell>
          <cell r="B1309" t="str">
            <v>Fixation</v>
          </cell>
          <cell r="C1309" t="str">
            <v>pipeco</v>
          </cell>
          <cell r="D1309" t="str">
            <v xml:space="preserve">FX001129 Pipeco EPDM N° 7 150mm/280mm Embase Carrée </v>
          </cell>
        </row>
        <row r="1310">
          <cell r="A1310" t="str">
            <v>MCBE0473</v>
          </cell>
          <cell r="B1310" t="str">
            <v>Fixation</v>
          </cell>
          <cell r="C1310" t="str">
            <v>pipeco</v>
          </cell>
          <cell r="D1310" t="str">
            <v xml:space="preserve">FX001129 Pipeco EPDM N° 7 150mm/280mm Embase Carrée </v>
          </cell>
        </row>
        <row r="1311">
          <cell r="A1311" t="str">
            <v>MCBE0473</v>
          </cell>
          <cell r="B1311" t="str">
            <v>Fixation</v>
          </cell>
          <cell r="C1311" t="str">
            <v>pipeco</v>
          </cell>
          <cell r="D1311" t="str">
            <v xml:space="preserve">FX001129 Pipeco EPDM N° 7 150mm/280mm Embase Carrée </v>
          </cell>
        </row>
        <row r="1312">
          <cell r="A1312" t="str">
            <v>MCBE0473</v>
          </cell>
          <cell r="B1312" t="str">
            <v>Fixation</v>
          </cell>
          <cell r="C1312" t="str">
            <v>pipeco</v>
          </cell>
          <cell r="D1312" t="str">
            <v xml:space="preserve">FX001129 Pipeco EPDM N° 7 150mm/280mm Embase Carrée </v>
          </cell>
        </row>
        <row r="1313">
          <cell r="A1313" t="str">
            <v>MCBE0474</v>
          </cell>
          <cell r="B1313" t="str">
            <v>Fixation</v>
          </cell>
          <cell r="C1313" t="str">
            <v>pipeco</v>
          </cell>
          <cell r="D1313" t="str">
            <v xml:space="preserve">FX001125 Pipeco EPDM N° 8 175mm/330mm Embase Carrée </v>
          </cell>
        </row>
        <row r="1314">
          <cell r="A1314" t="str">
            <v>MCBE0474</v>
          </cell>
          <cell r="B1314" t="str">
            <v>Fixation</v>
          </cell>
          <cell r="C1314" t="str">
            <v>pipeco</v>
          </cell>
          <cell r="D1314" t="str">
            <v xml:space="preserve">FX001125 Pipeco EPDM N° 8 175mm/330mm Embase Carrée </v>
          </cell>
        </row>
        <row r="1315">
          <cell r="A1315" t="str">
            <v>MCBE0474</v>
          </cell>
          <cell r="B1315" t="str">
            <v>Fixation</v>
          </cell>
          <cell r="C1315" t="str">
            <v>pipeco</v>
          </cell>
          <cell r="D1315" t="str">
            <v xml:space="preserve">FX001125 Pipeco EPDM N° 8 175mm/330mm Embase Carrée </v>
          </cell>
        </row>
        <row r="1316">
          <cell r="A1316" t="str">
            <v>MCBE0474</v>
          </cell>
          <cell r="B1316" t="str">
            <v>Fixation</v>
          </cell>
          <cell r="C1316" t="str">
            <v>pipeco</v>
          </cell>
          <cell r="D1316" t="str">
            <v xml:space="preserve">FX001125 Pipeco EPDM N° 8 175mm/330mm Embase Carrée </v>
          </cell>
        </row>
        <row r="1317">
          <cell r="A1317" t="str">
            <v>MCBE0474</v>
          </cell>
          <cell r="B1317" t="str">
            <v>Fixation</v>
          </cell>
          <cell r="C1317" t="str">
            <v>pipeco</v>
          </cell>
          <cell r="D1317" t="str">
            <v xml:space="preserve">FX001125 Pipeco EPDM N° 8 175mm/330mm Embase Carrée </v>
          </cell>
        </row>
        <row r="1318">
          <cell r="A1318" t="str">
            <v>MCBE0474</v>
          </cell>
          <cell r="B1318" t="str">
            <v>Fixation</v>
          </cell>
          <cell r="C1318" t="str">
            <v>pipeco</v>
          </cell>
          <cell r="D1318" t="str">
            <v xml:space="preserve">FX001125 Pipeco EPDM N° 8 175mm/330mm Embase Carrée </v>
          </cell>
        </row>
        <row r="1319">
          <cell r="A1319" t="str">
            <v>MCBE0475</v>
          </cell>
          <cell r="B1319" t="str">
            <v>Fixation</v>
          </cell>
          <cell r="C1319" t="str">
            <v>pipeco</v>
          </cell>
          <cell r="D1319" t="str">
            <v xml:space="preserve">FX001298 Pipeco EPDM N° 9 240mm/475mm Embase Carrée </v>
          </cell>
        </row>
        <row r="1320">
          <cell r="A1320" t="str">
            <v>MCBE0475</v>
          </cell>
          <cell r="B1320" t="str">
            <v>Fixation</v>
          </cell>
          <cell r="C1320" t="str">
            <v>pipeco</v>
          </cell>
          <cell r="D1320" t="str">
            <v xml:space="preserve">FX001298 Pipeco EPDM N° 9 240mm/475mm Embase Carrée </v>
          </cell>
        </row>
        <row r="1321">
          <cell r="A1321" t="str">
            <v>MCBE0475</v>
          </cell>
          <cell r="B1321" t="str">
            <v>Fixation</v>
          </cell>
          <cell r="C1321" t="str">
            <v>pipeco</v>
          </cell>
          <cell r="D1321" t="str">
            <v xml:space="preserve">FX001298 Pipeco EPDM N° 9 240mm/475mm Embase Carrée </v>
          </cell>
        </row>
        <row r="1322">
          <cell r="A1322" t="str">
            <v>MCBE0475</v>
          </cell>
          <cell r="B1322" t="str">
            <v>Fixation</v>
          </cell>
          <cell r="C1322" t="str">
            <v>pipeco</v>
          </cell>
          <cell r="D1322" t="str">
            <v xml:space="preserve">FX001298 Pipeco EPDM N° 9 240mm/475mm Embase Carrée </v>
          </cell>
        </row>
        <row r="1323">
          <cell r="A1323" t="str">
            <v>MCBE0475</v>
          </cell>
          <cell r="B1323" t="str">
            <v>Fixation</v>
          </cell>
          <cell r="C1323" t="str">
            <v>pipeco</v>
          </cell>
          <cell r="D1323" t="str">
            <v xml:space="preserve">FX001298 Pipeco EPDM N° 9 240mm/475mm Embase Carrée </v>
          </cell>
        </row>
        <row r="1324">
          <cell r="A1324" t="str">
            <v>MCBE0475</v>
          </cell>
          <cell r="B1324" t="str">
            <v>Fixation</v>
          </cell>
          <cell r="C1324" t="str">
            <v>pipeco</v>
          </cell>
          <cell r="D1324" t="str">
            <v xml:space="preserve">FX001298 Pipeco EPDM N° 9 240mm/475mm Embase Carrée </v>
          </cell>
        </row>
        <row r="1325">
          <cell r="A1325" t="str">
            <v>MCBE0369</v>
          </cell>
          <cell r="B1325" t="str">
            <v>outillage couvreur</v>
          </cell>
          <cell r="C1325" t="str">
            <v>outillage bitume</v>
          </cell>
          <cell r="D1325" t="str">
            <v xml:space="preserve">Ensemble Express Monté 6196 10m U </v>
          </cell>
        </row>
        <row r="1326">
          <cell r="A1326" t="str">
            <v>MCBE0369</v>
          </cell>
          <cell r="B1326" t="str">
            <v>outillage couvreur</v>
          </cell>
          <cell r="C1326" t="str">
            <v>outillage bitume</v>
          </cell>
          <cell r="D1326" t="str">
            <v xml:space="preserve">Ensemble Express Monté 6196 10m U </v>
          </cell>
        </row>
        <row r="1327">
          <cell r="A1327" t="str">
            <v>MCBE0369</v>
          </cell>
          <cell r="B1327" t="str">
            <v>outillage couvreur</v>
          </cell>
          <cell r="C1327" t="str">
            <v>outillage bitume</v>
          </cell>
          <cell r="D1327" t="str">
            <v xml:space="preserve">Ensemble Express Monté 6196 10m U </v>
          </cell>
        </row>
        <row r="1328">
          <cell r="A1328" t="str">
            <v>MCBE0369</v>
          </cell>
          <cell r="B1328" t="str">
            <v>outillage couvreur</v>
          </cell>
          <cell r="C1328" t="str">
            <v>outillage bitume</v>
          </cell>
          <cell r="D1328" t="str">
            <v xml:space="preserve">Ensemble Express Monté 6196 10m U </v>
          </cell>
        </row>
        <row r="1329">
          <cell r="A1329" t="str">
            <v>MCBE0369</v>
          </cell>
          <cell r="B1329" t="str">
            <v>outillage couvreur</v>
          </cell>
          <cell r="C1329" t="str">
            <v>outillage bitume</v>
          </cell>
          <cell r="D1329" t="str">
            <v xml:space="preserve">Ensemble Express Monté 6196 10m U </v>
          </cell>
        </row>
        <row r="1330">
          <cell r="A1330" t="str">
            <v>MCBE0369</v>
          </cell>
          <cell r="B1330" t="str">
            <v>outillage couvreur</v>
          </cell>
          <cell r="C1330" t="str">
            <v>outillage bitume</v>
          </cell>
          <cell r="D1330" t="str">
            <v xml:space="preserve">Ensemble Express Monté 6196 10m U </v>
          </cell>
        </row>
        <row r="1331">
          <cell r="A1331" t="str">
            <v>MCBE0370</v>
          </cell>
          <cell r="B1331" t="str">
            <v>outillage couvreur</v>
          </cell>
          <cell r="C1331" t="str">
            <v>outillage bitume</v>
          </cell>
          <cell r="D1331" t="str">
            <v xml:space="preserve">Ensemble Express Monté 6420 20m </v>
          </cell>
        </row>
        <row r="1332">
          <cell r="A1332" t="str">
            <v>MCBE0370</v>
          </cell>
          <cell r="B1332" t="str">
            <v>outillage couvreur</v>
          </cell>
          <cell r="C1332" t="str">
            <v>outillage bitume</v>
          </cell>
          <cell r="D1332" t="str">
            <v xml:space="preserve">Ensemble Express Monté 6420 20m </v>
          </cell>
        </row>
        <row r="1333">
          <cell r="A1333" t="str">
            <v>MCBE0370</v>
          </cell>
          <cell r="B1333" t="str">
            <v>outillage couvreur</v>
          </cell>
          <cell r="C1333" t="str">
            <v>outillage bitume</v>
          </cell>
          <cell r="D1333" t="str">
            <v xml:space="preserve">Ensemble Express Monté 6420 20m </v>
          </cell>
        </row>
        <row r="1334">
          <cell r="A1334" t="str">
            <v>MCBE0370</v>
          </cell>
          <cell r="B1334" t="str">
            <v>outillage couvreur</v>
          </cell>
          <cell r="C1334" t="str">
            <v>outillage bitume</v>
          </cell>
          <cell r="D1334" t="str">
            <v xml:space="preserve">Ensemble Express Monté 6420 20m </v>
          </cell>
        </row>
        <row r="1335">
          <cell r="A1335" t="str">
            <v>MCBE0370</v>
          </cell>
          <cell r="B1335" t="str">
            <v>outillage couvreur</v>
          </cell>
          <cell r="C1335" t="str">
            <v>outillage bitume</v>
          </cell>
          <cell r="D1335" t="str">
            <v xml:space="preserve">Ensemble Express Monté 6420 20m </v>
          </cell>
        </row>
        <row r="1336">
          <cell r="A1336" t="str">
            <v>MCBE0370</v>
          </cell>
          <cell r="B1336" t="str">
            <v>outillage couvreur</v>
          </cell>
          <cell r="C1336" t="str">
            <v>outillage bitume</v>
          </cell>
          <cell r="D1336" t="str">
            <v xml:space="preserve">Ensemble Express Monté 6420 20m </v>
          </cell>
        </row>
        <row r="1337">
          <cell r="A1337" t="str">
            <v>MCBE0371</v>
          </cell>
          <cell r="B1337" t="str">
            <v>outillage couvreur</v>
          </cell>
          <cell r="C1337" t="str">
            <v>outillage bitume</v>
          </cell>
          <cell r="D1337" t="str">
            <v xml:space="preserve">Tuyau Prémonté en D6.3mm 20m U </v>
          </cell>
        </row>
        <row r="1338">
          <cell r="A1338" t="str">
            <v>MCBE0371</v>
          </cell>
          <cell r="B1338" t="str">
            <v>outillage couvreur</v>
          </cell>
          <cell r="C1338" t="str">
            <v>outillage bitume</v>
          </cell>
          <cell r="D1338" t="str">
            <v xml:space="preserve">Tuyau Prémonté en D6.3mm 20m U </v>
          </cell>
        </row>
        <row r="1339">
          <cell r="A1339" t="str">
            <v>MCBE0371</v>
          </cell>
          <cell r="B1339" t="str">
            <v>outillage couvreur</v>
          </cell>
          <cell r="C1339" t="str">
            <v>outillage bitume</v>
          </cell>
          <cell r="D1339" t="str">
            <v xml:space="preserve">Tuyau Prémonté en D6.3mm 20m U </v>
          </cell>
        </row>
        <row r="1340">
          <cell r="A1340" t="str">
            <v>MCBE0371</v>
          </cell>
          <cell r="B1340" t="str">
            <v>outillage couvreur</v>
          </cell>
          <cell r="C1340" t="str">
            <v>outillage bitume</v>
          </cell>
          <cell r="D1340" t="str">
            <v xml:space="preserve">Tuyau Prémonté en D6.3mm 20m U </v>
          </cell>
        </row>
        <row r="1341">
          <cell r="A1341" t="str">
            <v>MCBE0371</v>
          </cell>
          <cell r="B1341" t="str">
            <v>outillage couvreur</v>
          </cell>
          <cell r="C1341" t="str">
            <v>outillage bitume</v>
          </cell>
          <cell r="D1341" t="str">
            <v xml:space="preserve">Tuyau Prémonté en D6.3mm 20m U </v>
          </cell>
        </row>
        <row r="1342">
          <cell r="A1342" t="str">
            <v>MCBE0371</v>
          </cell>
          <cell r="B1342" t="str">
            <v>outillage couvreur</v>
          </cell>
          <cell r="C1342" t="str">
            <v>outillage bitume</v>
          </cell>
          <cell r="D1342" t="str">
            <v xml:space="preserve">Tuyau Prémonté en D6.3mm 20m U </v>
          </cell>
        </row>
        <row r="1343">
          <cell r="A1343" t="str">
            <v>MCBE0372</v>
          </cell>
          <cell r="B1343" t="str">
            <v>outillage couvreur</v>
          </cell>
          <cell r="C1343" t="str">
            <v>outillage bitume</v>
          </cell>
          <cell r="D1343" t="str">
            <v xml:space="preserve">Poignée Métal Rac. Tourn. 615T </v>
          </cell>
        </row>
        <row r="1344">
          <cell r="A1344" t="str">
            <v>MCBE0372</v>
          </cell>
          <cell r="B1344" t="str">
            <v>outillage couvreur</v>
          </cell>
          <cell r="C1344" t="str">
            <v>outillage bitume</v>
          </cell>
          <cell r="D1344" t="str">
            <v xml:space="preserve">Poignée Métal Rac. Tourn. 615T </v>
          </cell>
        </row>
        <row r="1345">
          <cell r="A1345" t="str">
            <v>MCBE0372</v>
          </cell>
          <cell r="B1345" t="str">
            <v>outillage couvreur</v>
          </cell>
          <cell r="C1345" t="str">
            <v>outillage bitume</v>
          </cell>
          <cell r="D1345" t="str">
            <v xml:space="preserve">Poignée Métal Rac. Tourn. 615T </v>
          </cell>
        </row>
        <row r="1346">
          <cell r="A1346" t="str">
            <v>MCBE0372</v>
          </cell>
          <cell r="B1346" t="str">
            <v>outillage couvreur</v>
          </cell>
          <cell r="C1346" t="str">
            <v>outillage bitume</v>
          </cell>
          <cell r="D1346" t="str">
            <v xml:space="preserve">Poignée Métal Rac. Tourn. 615T </v>
          </cell>
        </row>
        <row r="1347">
          <cell r="A1347" t="str">
            <v>MCBE0372</v>
          </cell>
          <cell r="B1347" t="str">
            <v>outillage couvreur</v>
          </cell>
          <cell r="C1347" t="str">
            <v>outillage bitume</v>
          </cell>
          <cell r="D1347" t="str">
            <v xml:space="preserve">Poignée Métal Rac. Tourn. 615T </v>
          </cell>
        </row>
        <row r="1348">
          <cell r="A1348" t="str">
            <v>MCBE0373</v>
          </cell>
          <cell r="B1348" t="str">
            <v>outillage couvreur</v>
          </cell>
          <cell r="C1348" t="str">
            <v>outillage bitume</v>
          </cell>
          <cell r="D1348" t="str">
            <v>Lance+Godet titane D50mm Long. totale 200mm U</v>
          </cell>
        </row>
        <row r="1349">
          <cell r="A1349" t="str">
            <v>MCBE0373</v>
          </cell>
          <cell r="B1349" t="str">
            <v>outillage couvreur</v>
          </cell>
          <cell r="C1349" t="str">
            <v>outillage bitume</v>
          </cell>
          <cell r="D1349" t="str">
            <v>Lance+Godet titane D50mm Long. totale 200mm U</v>
          </cell>
        </row>
        <row r="1350">
          <cell r="A1350" t="str">
            <v>MCBE0373</v>
          </cell>
          <cell r="B1350" t="str">
            <v>outillage couvreur</v>
          </cell>
          <cell r="C1350" t="str">
            <v>outillage bitume</v>
          </cell>
          <cell r="D1350" t="str">
            <v>Lance+Godet titane D50mm Long. totale 200mm U</v>
          </cell>
        </row>
        <row r="1351">
          <cell r="A1351" t="str">
            <v>MCBE0373</v>
          </cell>
          <cell r="B1351" t="str">
            <v>outillage couvreur</v>
          </cell>
          <cell r="C1351" t="str">
            <v>outillage bitume</v>
          </cell>
          <cell r="D1351" t="str">
            <v>Lance+Godet titane D50mm Long. totale 200mm U</v>
          </cell>
        </row>
        <row r="1352">
          <cell r="A1352" t="str">
            <v>MCBE0373</v>
          </cell>
          <cell r="B1352" t="str">
            <v>outillage couvreur</v>
          </cell>
          <cell r="C1352" t="str">
            <v>outillage bitume</v>
          </cell>
          <cell r="D1352" t="str">
            <v>Lance+Godet titane D50mm Long. totale 200mm U</v>
          </cell>
        </row>
        <row r="1353">
          <cell r="A1353" t="str">
            <v>MCBE0373</v>
          </cell>
          <cell r="B1353" t="str">
            <v>outillage couvreur</v>
          </cell>
          <cell r="C1353" t="str">
            <v>outillage bitume</v>
          </cell>
          <cell r="D1353" t="str">
            <v>Lance+Godet titane D50mm Long. totale 200mm U</v>
          </cell>
        </row>
        <row r="1354">
          <cell r="A1354" t="str">
            <v>MCBE0374</v>
          </cell>
          <cell r="B1354" t="str">
            <v>outillage couvreur</v>
          </cell>
          <cell r="C1354" t="str">
            <v>outillage bitume</v>
          </cell>
          <cell r="D1354" t="str">
            <v xml:space="preserve">Lance+Godet titane D70mm Long. totale 200mm U </v>
          </cell>
        </row>
        <row r="1355">
          <cell r="A1355" t="str">
            <v>MCBE0374</v>
          </cell>
          <cell r="B1355" t="str">
            <v>outillage couvreur</v>
          </cell>
          <cell r="C1355" t="str">
            <v>outillage bitume</v>
          </cell>
          <cell r="D1355" t="str">
            <v xml:space="preserve">Lance+Godet titane D70mm Long. totale 200mm U </v>
          </cell>
        </row>
        <row r="1356">
          <cell r="A1356" t="str">
            <v>MCBE0374</v>
          </cell>
          <cell r="B1356" t="str">
            <v>outillage couvreur</v>
          </cell>
          <cell r="C1356" t="str">
            <v>outillage bitume</v>
          </cell>
          <cell r="D1356" t="str">
            <v xml:space="preserve">Lance+Godet titane D70mm Long. totale 200mm U </v>
          </cell>
        </row>
        <row r="1357">
          <cell r="A1357" t="str">
            <v>MCBE0374</v>
          </cell>
          <cell r="B1357" t="str">
            <v>outillage couvreur</v>
          </cell>
          <cell r="C1357" t="str">
            <v>outillage bitume</v>
          </cell>
          <cell r="D1357" t="str">
            <v xml:space="preserve">Lance+Godet titane D70mm Long. totale 200mm U </v>
          </cell>
        </row>
        <row r="1358">
          <cell r="A1358" t="str">
            <v>MCBE0374</v>
          </cell>
          <cell r="B1358" t="str">
            <v>outillage couvreur</v>
          </cell>
          <cell r="C1358" t="str">
            <v>outillage bitume</v>
          </cell>
          <cell r="D1358" t="str">
            <v xml:space="preserve">Lance+Godet titane D70mm Long. totale 200mm U </v>
          </cell>
        </row>
        <row r="1359">
          <cell r="A1359" t="str">
            <v>MCBE0374</v>
          </cell>
          <cell r="B1359" t="str">
            <v>outillage couvreur</v>
          </cell>
          <cell r="C1359" t="str">
            <v>outillage bitume</v>
          </cell>
          <cell r="D1359" t="str">
            <v xml:space="preserve">Lance+Godet titane D70mm Long. totale 200mm U </v>
          </cell>
        </row>
        <row r="1360">
          <cell r="A1360" t="str">
            <v>MCBE0375</v>
          </cell>
          <cell r="B1360" t="str">
            <v>outillage couvreur</v>
          </cell>
          <cell r="C1360" t="str">
            <v>outillage bitume</v>
          </cell>
          <cell r="D1360" t="str">
            <v xml:space="preserve"> Lance+Godet titane D70mm Long. totale 400mm </v>
          </cell>
        </row>
        <row r="1361">
          <cell r="A1361" t="str">
            <v>MCBE0375</v>
          </cell>
          <cell r="B1361" t="str">
            <v>outillage couvreur</v>
          </cell>
          <cell r="C1361" t="str">
            <v>outillage bitume</v>
          </cell>
          <cell r="D1361" t="str">
            <v xml:space="preserve"> Lance+Godet titane D70mm Long. totale 400mm </v>
          </cell>
        </row>
        <row r="1362">
          <cell r="A1362" t="str">
            <v>MCBE0375</v>
          </cell>
          <cell r="B1362" t="str">
            <v>outillage couvreur</v>
          </cell>
          <cell r="C1362" t="str">
            <v>outillage bitume</v>
          </cell>
          <cell r="D1362" t="str">
            <v xml:space="preserve"> Lance+Godet titane D70mm Long. totale 400mm </v>
          </cell>
        </row>
        <row r="1363">
          <cell r="A1363" t="str">
            <v>MCBE0375</v>
          </cell>
          <cell r="B1363" t="str">
            <v>outillage couvreur</v>
          </cell>
          <cell r="C1363" t="str">
            <v>outillage bitume</v>
          </cell>
          <cell r="D1363" t="str">
            <v xml:space="preserve"> Lance+Godet titane D70mm Long. totale 400mm </v>
          </cell>
        </row>
        <row r="1364">
          <cell r="A1364" t="str">
            <v>MCBE0375</v>
          </cell>
          <cell r="B1364" t="str">
            <v>outillage couvreur</v>
          </cell>
          <cell r="C1364" t="str">
            <v>outillage bitume</v>
          </cell>
          <cell r="D1364" t="str">
            <v xml:space="preserve"> Lance+Godet titane D70mm Long. totale 400mm </v>
          </cell>
        </row>
        <row r="1365">
          <cell r="A1365" t="str">
            <v>MCBE0375</v>
          </cell>
          <cell r="B1365" t="str">
            <v>outillage couvreur</v>
          </cell>
          <cell r="C1365" t="str">
            <v>outillage bitume</v>
          </cell>
          <cell r="D1365" t="str">
            <v xml:space="preserve"> Lance+Godet titane D70mm Long. totale 400mm </v>
          </cell>
        </row>
        <row r="1366">
          <cell r="A1366" t="str">
            <v>MCBE0376</v>
          </cell>
          <cell r="B1366" t="str">
            <v>outillage couvreur</v>
          </cell>
          <cell r="C1366" t="str">
            <v>outillage bitume</v>
          </cell>
          <cell r="D1366" t="str">
            <v xml:space="preserve">Lance+Godet titane D70mm Long. totale 600mm </v>
          </cell>
        </row>
        <row r="1367">
          <cell r="A1367" t="str">
            <v>MCBE0376</v>
          </cell>
          <cell r="B1367" t="str">
            <v>outillage couvreur</v>
          </cell>
          <cell r="C1367" t="str">
            <v>outillage bitume</v>
          </cell>
          <cell r="D1367" t="str">
            <v xml:space="preserve">Lance+Godet titane D70mm Long. totale 600mm </v>
          </cell>
        </row>
        <row r="1368">
          <cell r="A1368" t="str">
            <v>MCBE0376</v>
          </cell>
          <cell r="B1368" t="str">
            <v>outillage couvreur</v>
          </cell>
          <cell r="C1368" t="str">
            <v>outillage bitume</v>
          </cell>
          <cell r="D1368" t="str">
            <v xml:space="preserve">Lance+Godet titane D70mm Long. totale 600mm </v>
          </cell>
        </row>
        <row r="1369">
          <cell r="A1369" t="str">
            <v>MCBE0376</v>
          </cell>
          <cell r="B1369" t="str">
            <v>outillage couvreur</v>
          </cell>
          <cell r="C1369" t="str">
            <v>outillage bitume</v>
          </cell>
          <cell r="D1369" t="str">
            <v xml:space="preserve">Lance+Godet titane D70mm Long. totale 600mm </v>
          </cell>
        </row>
        <row r="1370">
          <cell r="A1370" t="str">
            <v>MCBE0376</v>
          </cell>
          <cell r="B1370" t="str">
            <v>outillage couvreur</v>
          </cell>
          <cell r="C1370" t="str">
            <v>outillage bitume</v>
          </cell>
          <cell r="D1370" t="str">
            <v xml:space="preserve">Lance+Godet titane D70mm Long. totale 600mm </v>
          </cell>
        </row>
        <row r="1371">
          <cell r="A1371" t="str">
            <v>MCBE0376</v>
          </cell>
          <cell r="B1371" t="str">
            <v>outillage couvreur</v>
          </cell>
          <cell r="C1371" t="str">
            <v>outillage bitume</v>
          </cell>
          <cell r="D1371" t="str">
            <v xml:space="preserve">Lance+Godet titane D70mm Long. totale 600mm </v>
          </cell>
        </row>
        <row r="1372">
          <cell r="A1372" t="str">
            <v>MCBE0377</v>
          </cell>
          <cell r="B1372" t="str">
            <v>outillage couvreur</v>
          </cell>
          <cell r="C1372" t="str">
            <v>outillage bitume</v>
          </cell>
          <cell r="D1372" t="str">
            <v>Lance + 2 Godets Titane D60 long 550</v>
          </cell>
        </row>
        <row r="1373">
          <cell r="A1373" t="str">
            <v>MCBE0377</v>
          </cell>
          <cell r="B1373" t="str">
            <v>outillage couvreur</v>
          </cell>
          <cell r="C1373" t="str">
            <v>outillage bitume</v>
          </cell>
          <cell r="D1373" t="str">
            <v>Lance + 2 Godets Titane D60 long 550</v>
          </cell>
        </row>
        <row r="1374">
          <cell r="A1374" t="str">
            <v>MCBE0377</v>
          </cell>
          <cell r="B1374" t="str">
            <v>outillage couvreur</v>
          </cell>
          <cell r="C1374" t="str">
            <v>outillage bitume</v>
          </cell>
          <cell r="D1374" t="str">
            <v>Lance + 2 Godets Titane D60 long 550</v>
          </cell>
        </row>
        <row r="1375">
          <cell r="A1375" t="str">
            <v>MCBE0377</v>
          </cell>
          <cell r="B1375" t="str">
            <v>outillage couvreur</v>
          </cell>
          <cell r="C1375" t="str">
            <v>outillage bitume</v>
          </cell>
          <cell r="D1375" t="str">
            <v>Lance + 2 Godets Titane D60 long 550</v>
          </cell>
        </row>
        <row r="1376">
          <cell r="A1376" t="str">
            <v>MCBE0378</v>
          </cell>
          <cell r="B1376" t="str">
            <v>outillage couvreur</v>
          </cell>
          <cell r="C1376" t="str">
            <v>outillage bitume</v>
          </cell>
          <cell r="D1376" t="str">
            <v xml:space="preserve">Rallonge Lance Chalumeau 42cm </v>
          </cell>
        </row>
        <row r="1377">
          <cell r="A1377" t="str">
            <v>MCBE0378</v>
          </cell>
          <cell r="B1377" t="str">
            <v>outillage couvreur</v>
          </cell>
          <cell r="C1377" t="str">
            <v>outillage bitume</v>
          </cell>
          <cell r="D1377" t="str">
            <v xml:space="preserve">Rallonge Lance Chalumeau 42cm </v>
          </cell>
        </row>
        <row r="1378">
          <cell r="A1378" t="str">
            <v>MCBE0378</v>
          </cell>
          <cell r="B1378" t="str">
            <v>outillage couvreur</v>
          </cell>
          <cell r="C1378" t="str">
            <v>outillage bitume</v>
          </cell>
          <cell r="D1378" t="str">
            <v xml:space="preserve">Rallonge Lance Chalumeau 42cm </v>
          </cell>
        </row>
        <row r="1379">
          <cell r="A1379" t="str">
            <v>MCBE0378</v>
          </cell>
          <cell r="B1379" t="str">
            <v>outillage couvreur</v>
          </cell>
          <cell r="C1379" t="str">
            <v>outillage bitume</v>
          </cell>
          <cell r="D1379" t="str">
            <v xml:space="preserve">Rallonge Lance Chalumeau 42cm </v>
          </cell>
        </row>
        <row r="1380">
          <cell r="A1380" t="str">
            <v>MCBE0378</v>
          </cell>
          <cell r="B1380" t="str">
            <v>outillage couvreur</v>
          </cell>
          <cell r="C1380" t="str">
            <v>outillage bitume</v>
          </cell>
          <cell r="D1380" t="str">
            <v xml:space="preserve">Rallonge Lance Chalumeau 42cm </v>
          </cell>
        </row>
        <row r="1381">
          <cell r="A1381" t="str">
            <v>MCBE0378</v>
          </cell>
          <cell r="B1381" t="str">
            <v>outillage couvreur</v>
          </cell>
          <cell r="C1381" t="str">
            <v>outillage bitume</v>
          </cell>
          <cell r="D1381" t="str">
            <v xml:space="preserve">Rallonge Lance Chalumeau 42cm </v>
          </cell>
        </row>
        <row r="1382">
          <cell r="A1382" t="str">
            <v>MCBE0379</v>
          </cell>
          <cell r="B1382" t="str">
            <v>outillage couvreur</v>
          </cell>
          <cell r="C1382" t="str">
            <v>outillage bitume</v>
          </cell>
          <cell r="D1382" t="str">
            <v>Detendeur Fixe 4 argenté Bra-684</v>
          </cell>
        </row>
        <row r="1383">
          <cell r="A1383" t="str">
            <v>MCBE0379</v>
          </cell>
          <cell r="B1383" t="str">
            <v>outillage couvreur</v>
          </cell>
          <cell r="C1383" t="str">
            <v>outillage bitume</v>
          </cell>
          <cell r="D1383" t="str">
            <v>Detendeur Fixe 4 argenté Bra-684</v>
          </cell>
        </row>
        <row r="1384">
          <cell r="A1384" t="str">
            <v>MCBE0379</v>
          </cell>
          <cell r="B1384" t="str">
            <v>outillage couvreur</v>
          </cell>
          <cell r="C1384" t="str">
            <v>outillage bitume</v>
          </cell>
          <cell r="D1384" t="str">
            <v>Detendeur Fixe 4 argenté Bra-684</v>
          </cell>
        </row>
        <row r="1385">
          <cell r="A1385" t="str">
            <v>MCBE0379</v>
          </cell>
          <cell r="B1385" t="str">
            <v>outillage couvreur</v>
          </cell>
          <cell r="C1385" t="str">
            <v>outillage bitume</v>
          </cell>
          <cell r="D1385" t="str">
            <v>Detendeur Fixe 4 argenté Bra-684</v>
          </cell>
        </row>
        <row r="1386">
          <cell r="A1386" t="str">
            <v>MCBE0379</v>
          </cell>
          <cell r="B1386" t="str">
            <v>outillage couvreur</v>
          </cell>
          <cell r="C1386" t="str">
            <v>outillage bitume</v>
          </cell>
          <cell r="D1386" t="str">
            <v>Detendeur Fixe 4 argenté Bra-684</v>
          </cell>
        </row>
        <row r="1387">
          <cell r="A1387" t="str">
            <v>MCBE0379</v>
          </cell>
          <cell r="B1387" t="str">
            <v>outillage couvreur</v>
          </cell>
          <cell r="C1387" t="str">
            <v>outillage bitume</v>
          </cell>
          <cell r="D1387" t="str">
            <v>Detendeur Fixe 4 argenté Bra-684</v>
          </cell>
        </row>
        <row r="1388">
          <cell r="A1388" t="str">
            <v>MCBE0380</v>
          </cell>
          <cell r="B1388" t="str">
            <v>outillage couvreur</v>
          </cell>
          <cell r="C1388" t="str">
            <v>outillage bitume</v>
          </cell>
          <cell r="D1388" t="str">
            <v xml:space="preserve">Collier à oreilles pour Ø int. 8mm </v>
          </cell>
        </row>
        <row r="1389">
          <cell r="A1389" t="str">
            <v>MCBE0380</v>
          </cell>
          <cell r="B1389" t="str">
            <v>outillage couvreur</v>
          </cell>
          <cell r="C1389" t="str">
            <v>outillage bitume</v>
          </cell>
          <cell r="D1389" t="str">
            <v xml:space="preserve">Collier à oreilles pour Ø int. 8mm </v>
          </cell>
        </row>
        <row r="1390">
          <cell r="A1390" t="str">
            <v>MCBE0380</v>
          </cell>
          <cell r="B1390" t="str">
            <v>outillage couvreur</v>
          </cell>
          <cell r="C1390" t="str">
            <v>outillage bitume</v>
          </cell>
          <cell r="D1390" t="str">
            <v xml:space="preserve">Collier à oreilles pour Ø int. 8mm </v>
          </cell>
        </row>
        <row r="1391">
          <cell r="A1391" t="str">
            <v>MCBE0380</v>
          </cell>
          <cell r="B1391" t="str">
            <v>outillage couvreur</v>
          </cell>
          <cell r="C1391" t="str">
            <v>outillage bitume</v>
          </cell>
          <cell r="D1391" t="str">
            <v xml:space="preserve">Collier à oreilles pour Ø int. 8mm </v>
          </cell>
        </row>
        <row r="1392">
          <cell r="A1392" t="str">
            <v>MCBE0380</v>
          </cell>
          <cell r="B1392" t="str">
            <v>outillage couvreur</v>
          </cell>
          <cell r="C1392" t="str">
            <v>outillage bitume</v>
          </cell>
          <cell r="D1392" t="str">
            <v xml:space="preserve">Collier à oreilles pour Ø int. 8mm </v>
          </cell>
        </row>
        <row r="1393">
          <cell r="A1393" t="str">
            <v>MCBE0381</v>
          </cell>
          <cell r="B1393" t="str">
            <v>outillage couvreur</v>
          </cell>
          <cell r="C1393" t="str">
            <v>outillage bitume</v>
          </cell>
          <cell r="D1393" t="str">
            <v xml:space="preserve">Pied Support Chalumeau </v>
          </cell>
        </row>
        <row r="1394">
          <cell r="A1394" t="str">
            <v>MCBE0381</v>
          </cell>
          <cell r="B1394" t="str">
            <v>outillage couvreur</v>
          </cell>
          <cell r="C1394" t="str">
            <v>outillage bitume</v>
          </cell>
          <cell r="D1394" t="str">
            <v xml:space="preserve">Pied Support Chalumeau </v>
          </cell>
        </row>
        <row r="1395">
          <cell r="A1395" t="str">
            <v>MCBE0381</v>
          </cell>
          <cell r="B1395" t="str">
            <v>outillage couvreur</v>
          </cell>
          <cell r="C1395" t="str">
            <v>outillage bitume</v>
          </cell>
          <cell r="D1395" t="str">
            <v xml:space="preserve">Pied Support Chalumeau </v>
          </cell>
        </row>
        <row r="1396">
          <cell r="A1396" t="str">
            <v>MCBE0381</v>
          </cell>
          <cell r="B1396" t="str">
            <v>outillage couvreur</v>
          </cell>
          <cell r="C1396" t="str">
            <v>outillage bitume</v>
          </cell>
          <cell r="D1396" t="str">
            <v xml:space="preserve">Pied Support Chalumeau </v>
          </cell>
        </row>
        <row r="1397">
          <cell r="A1397" t="str">
            <v>MCBE0381</v>
          </cell>
          <cell r="B1397" t="str">
            <v>outillage couvreur</v>
          </cell>
          <cell r="C1397" t="str">
            <v>outillage bitume</v>
          </cell>
          <cell r="D1397" t="str">
            <v xml:space="preserve">Pied Support Chalumeau </v>
          </cell>
        </row>
        <row r="1398">
          <cell r="A1398" t="str">
            <v>MCBE0381</v>
          </cell>
          <cell r="B1398" t="str">
            <v>outillage couvreur</v>
          </cell>
          <cell r="C1398" t="str">
            <v>outillage bitume</v>
          </cell>
          <cell r="D1398" t="str">
            <v xml:space="preserve">Pied Support Chalumeau </v>
          </cell>
        </row>
        <row r="1399">
          <cell r="A1399" t="str">
            <v>MCBE0382</v>
          </cell>
          <cell r="B1399" t="str">
            <v>outillage couvreur</v>
          </cell>
          <cell r="C1399" t="str">
            <v>outillage bitume</v>
          </cell>
          <cell r="D1399" t="str">
            <v xml:space="preserve">Coupleur pour bouteilles propane </v>
          </cell>
        </row>
        <row r="1400">
          <cell r="A1400" t="str">
            <v>MCBE0382</v>
          </cell>
          <cell r="B1400" t="str">
            <v>outillage couvreur</v>
          </cell>
          <cell r="C1400" t="str">
            <v>outillage bitume</v>
          </cell>
          <cell r="D1400" t="str">
            <v xml:space="preserve">Coupleur pour bouteilles propane </v>
          </cell>
        </row>
        <row r="1401">
          <cell r="A1401" t="str">
            <v>MCBE0382</v>
          </cell>
          <cell r="B1401" t="str">
            <v>outillage couvreur</v>
          </cell>
          <cell r="C1401" t="str">
            <v>outillage bitume</v>
          </cell>
          <cell r="D1401" t="str">
            <v xml:space="preserve">Coupleur pour bouteilles propane </v>
          </cell>
        </row>
        <row r="1402">
          <cell r="A1402" t="str">
            <v>MCBE0382</v>
          </cell>
          <cell r="B1402" t="str">
            <v>outillage couvreur</v>
          </cell>
          <cell r="C1402" t="str">
            <v>outillage bitume</v>
          </cell>
          <cell r="D1402" t="str">
            <v xml:space="preserve">Coupleur pour bouteilles propane </v>
          </cell>
        </row>
        <row r="1403">
          <cell r="A1403" t="str">
            <v>MCBE0382</v>
          </cell>
          <cell r="B1403" t="str">
            <v>outillage couvreur</v>
          </cell>
          <cell r="C1403" t="str">
            <v>outillage bitume</v>
          </cell>
          <cell r="D1403" t="str">
            <v xml:space="preserve">Coupleur pour bouteilles propane </v>
          </cell>
        </row>
        <row r="1404">
          <cell r="A1404" t="str">
            <v>MCBE0382</v>
          </cell>
          <cell r="B1404" t="str">
            <v>outillage couvreur</v>
          </cell>
          <cell r="C1404" t="str">
            <v>outillage bitume</v>
          </cell>
          <cell r="D1404" t="str">
            <v xml:space="preserve">Coupleur pour bouteilles propane </v>
          </cell>
        </row>
        <row r="1405">
          <cell r="A1405" t="str">
            <v>MCBE0383</v>
          </cell>
          <cell r="B1405" t="str">
            <v>outillage couvreur</v>
          </cell>
          <cell r="C1405" t="str">
            <v>outillage bitume</v>
          </cell>
          <cell r="D1405" t="str">
            <v xml:space="preserve">Raccord Rapide + Tetine 911 </v>
          </cell>
        </row>
        <row r="1406">
          <cell r="A1406" t="str">
            <v>MCBE0383</v>
          </cell>
          <cell r="B1406" t="str">
            <v>outillage couvreur</v>
          </cell>
          <cell r="C1406" t="str">
            <v>outillage bitume</v>
          </cell>
          <cell r="D1406" t="str">
            <v xml:space="preserve">Raccord Rapide + Tetine 911 </v>
          </cell>
        </row>
        <row r="1407">
          <cell r="A1407" t="str">
            <v>MCBE0383</v>
          </cell>
          <cell r="B1407" t="str">
            <v>outillage couvreur</v>
          </cell>
          <cell r="C1407" t="str">
            <v>outillage bitume</v>
          </cell>
          <cell r="D1407" t="str">
            <v xml:space="preserve">Raccord Rapide + Tetine 911 </v>
          </cell>
        </row>
        <row r="1408">
          <cell r="A1408" t="str">
            <v>MCBE0383</v>
          </cell>
          <cell r="B1408" t="str">
            <v>outillage couvreur</v>
          </cell>
          <cell r="C1408" t="str">
            <v>outillage bitume</v>
          </cell>
          <cell r="D1408" t="str">
            <v xml:space="preserve">Raccord Rapide + Tetine 911 </v>
          </cell>
        </row>
        <row r="1409">
          <cell r="A1409" t="str">
            <v>MCBE0383</v>
          </cell>
          <cell r="B1409" t="str">
            <v>outillage couvreur</v>
          </cell>
          <cell r="C1409" t="str">
            <v>outillage bitume</v>
          </cell>
          <cell r="D1409" t="str">
            <v xml:space="preserve">Raccord Rapide + Tetine 911 </v>
          </cell>
        </row>
        <row r="1410">
          <cell r="A1410" t="str">
            <v>MCBE0383</v>
          </cell>
          <cell r="B1410" t="str">
            <v>outillage couvreur</v>
          </cell>
          <cell r="C1410" t="str">
            <v>outillage bitume</v>
          </cell>
          <cell r="D1410" t="str">
            <v xml:space="preserve">Raccord Rapide + Tetine 911 </v>
          </cell>
        </row>
        <row r="1411">
          <cell r="A1411" t="str">
            <v>MCBE0384</v>
          </cell>
          <cell r="B1411" t="str">
            <v>outillage couvreur</v>
          </cell>
          <cell r="C1411" t="str">
            <v>outillage bitume</v>
          </cell>
          <cell r="D1411" t="str">
            <v xml:space="preserve">Raccord de transvasement U </v>
          </cell>
        </row>
        <row r="1412">
          <cell r="A1412" t="str">
            <v>MCBE0384</v>
          </cell>
          <cell r="B1412" t="str">
            <v>outillage couvreur</v>
          </cell>
          <cell r="C1412" t="str">
            <v>outillage bitume</v>
          </cell>
          <cell r="D1412" t="str">
            <v xml:space="preserve">Raccord de transvasement U </v>
          </cell>
        </row>
        <row r="1413">
          <cell r="A1413" t="str">
            <v>MCBE0384</v>
          </cell>
          <cell r="B1413" t="str">
            <v>outillage couvreur</v>
          </cell>
          <cell r="C1413" t="str">
            <v>outillage bitume</v>
          </cell>
          <cell r="D1413" t="str">
            <v xml:space="preserve">Raccord de transvasement U </v>
          </cell>
        </row>
        <row r="1414">
          <cell r="A1414" t="str">
            <v>MCBE0384</v>
          </cell>
          <cell r="B1414" t="str">
            <v>outillage couvreur</v>
          </cell>
          <cell r="C1414" t="str">
            <v>outillage bitume</v>
          </cell>
          <cell r="D1414" t="str">
            <v xml:space="preserve">Raccord de transvasement U </v>
          </cell>
        </row>
        <row r="1415">
          <cell r="A1415" t="str">
            <v>MCBE0384</v>
          </cell>
          <cell r="B1415" t="str">
            <v>outillage couvreur</v>
          </cell>
          <cell r="C1415" t="str">
            <v>outillage bitume</v>
          </cell>
          <cell r="D1415" t="str">
            <v xml:space="preserve">Raccord de transvasement U </v>
          </cell>
        </row>
        <row r="1416">
          <cell r="A1416" t="str">
            <v>MCBE0384</v>
          </cell>
          <cell r="B1416" t="str">
            <v>outillage couvreur</v>
          </cell>
          <cell r="C1416" t="str">
            <v>outillage bitume</v>
          </cell>
          <cell r="D1416" t="str">
            <v xml:space="preserve">Raccord de transvasement U </v>
          </cell>
        </row>
        <row r="1417">
          <cell r="A1417" t="str">
            <v>MCBE0385</v>
          </cell>
          <cell r="B1417" t="str">
            <v>outillage couvreur</v>
          </cell>
          <cell r="C1417" t="str">
            <v>outillage bitume</v>
          </cell>
          <cell r="D1417" t="str">
            <v xml:space="preserve">Tétine 912 Pour RACCORD RAPIDE </v>
          </cell>
        </row>
        <row r="1418">
          <cell r="A1418" t="str">
            <v>MCBE0385</v>
          </cell>
          <cell r="B1418" t="str">
            <v>outillage couvreur</v>
          </cell>
          <cell r="C1418" t="str">
            <v>outillage bitume</v>
          </cell>
          <cell r="D1418" t="str">
            <v xml:space="preserve">Tétine 912 Pour RACCORD RAPIDE </v>
          </cell>
        </row>
        <row r="1419">
          <cell r="A1419" t="str">
            <v>MCBE0385</v>
          </cell>
          <cell r="B1419" t="str">
            <v>outillage couvreur</v>
          </cell>
          <cell r="C1419" t="str">
            <v>outillage bitume</v>
          </cell>
          <cell r="D1419" t="str">
            <v xml:space="preserve">Tétine 912 Pour RACCORD RAPIDE </v>
          </cell>
        </row>
        <row r="1420">
          <cell r="A1420" t="str">
            <v>MCBE0385</v>
          </cell>
          <cell r="B1420" t="str">
            <v>outillage couvreur</v>
          </cell>
          <cell r="C1420" t="str">
            <v>outillage bitume</v>
          </cell>
          <cell r="D1420" t="str">
            <v xml:space="preserve">Tétine 912 Pour RACCORD RAPIDE </v>
          </cell>
        </row>
        <row r="1421">
          <cell r="A1421" t="str">
            <v>MCBE0385</v>
          </cell>
          <cell r="B1421" t="str">
            <v>outillage couvreur</v>
          </cell>
          <cell r="C1421" t="str">
            <v>outillage bitume</v>
          </cell>
          <cell r="D1421" t="str">
            <v xml:space="preserve">Tétine 912 Pour RACCORD RAPIDE </v>
          </cell>
        </row>
        <row r="1422">
          <cell r="A1422" t="str">
            <v>MCBE0385</v>
          </cell>
          <cell r="B1422" t="str">
            <v>outillage couvreur</v>
          </cell>
          <cell r="C1422" t="str">
            <v>outillage bitume</v>
          </cell>
          <cell r="D1422" t="str">
            <v xml:space="preserve">Tétine 912 Pour RACCORD RAPIDE </v>
          </cell>
        </row>
        <row r="1423">
          <cell r="A1423" t="str">
            <v>MCBE0386</v>
          </cell>
          <cell r="B1423" t="str">
            <v>outillage couvreur</v>
          </cell>
          <cell r="C1423" t="str">
            <v>outillage bitume</v>
          </cell>
          <cell r="D1423" t="str">
            <v xml:space="preserve">Chalumeau Vulcane 490 Malette Solo Air Chaud </v>
          </cell>
        </row>
        <row r="1424">
          <cell r="A1424" t="str">
            <v>MCBE0386</v>
          </cell>
          <cell r="B1424" t="str">
            <v>outillage couvreur</v>
          </cell>
          <cell r="C1424" t="str">
            <v>outillage bitume</v>
          </cell>
          <cell r="D1424" t="str">
            <v xml:space="preserve">Chalumeau Vulcane 490 Malette Solo Air Chaud </v>
          </cell>
        </row>
        <row r="1425">
          <cell r="A1425" t="str">
            <v>MCBE0386</v>
          </cell>
          <cell r="B1425" t="str">
            <v>outillage couvreur</v>
          </cell>
          <cell r="C1425" t="str">
            <v>outillage bitume</v>
          </cell>
          <cell r="D1425" t="str">
            <v xml:space="preserve">Chalumeau Vulcane 490 Malette Solo Air Chaud </v>
          </cell>
        </row>
        <row r="1426">
          <cell r="A1426" t="str">
            <v>MCBE0386</v>
          </cell>
          <cell r="B1426" t="str">
            <v>outillage couvreur</v>
          </cell>
          <cell r="C1426" t="str">
            <v>outillage bitume</v>
          </cell>
          <cell r="D1426" t="str">
            <v xml:space="preserve">Chalumeau Vulcane 490 Malette Solo Air Chaud </v>
          </cell>
        </row>
        <row r="1427">
          <cell r="A1427" t="str">
            <v>MCBE0386</v>
          </cell>
          <cell r="B1427" t="str">
            <v>outillage couvreur</v>
          </cell>
          <cell r="C1427" t="str">
            <v>outillage bitume</v>
          </cell>
          <cell r="D1427" t="str">
            <v xml:space="preserve">Chalumeau Vulcane 490 Malette Solo Air Chaud </v>
          </cell>
        </row>
        <row r="1428">
          <cell r="A1428" t="str">
            <v>MCBE0386</v>
          </cell>
          <cell r="B1428" t="str">
            <v>outillage couvreur</v>
          </cell>
          <cell r="C1428" t="str">
            <v>outillage bitume</v>
          </cell>
          <cell r="D1428" t="str">
            <v xml:space="preserve">Chalumeau Vulcane 490 Malette Solo Air Chaud </v>
          </cell>
        </row>
        <row r="1429">
          <cell r="A1429" t="str">
            <v>MCBE0387</v>
          </cell>
          <cell r="B1429" t="str">
            <v>outillage couvreur</v>
          </cell>
          <cell r="C1429" t="str">
            <v>outillage bitume</v>
          </cell>
          <cell r="D1429" t="str">
            <v xml:space="preserve">Cartouche Gaz 2400 </v>
          </cell>
        </row>
        <row r="1430">
          <cell r="A1430" t="str">
            <v>MCBE0387</v>
          </cell>
          <cell r="B1430" t="str">
            <v>outillage couvreur</v>
          </cell>
          <cell r="C1430" t="str">
            <v>outillage bitume</v>
          </cell>
          <cell r="D1430" t="str">
            <v xml:space="preserve">Cartouche Gaz 2400 </v>
          </cell>
        </row>
        <row r="1431">
          <cell r="A1431" t="str">
            <v>MCBE0387</v>
          </cell>
          <cell r="B1431" t="str">
            <v>outillage couvreur</v>
          </cell>
          <cell r="C1431" t="str">
            <v>outillage bitume</v>
          </cell>
          <cell r="D1431" t="str">
            <v xml:space="preserve">Cartouche Gaz 2400 </v>
          </cell>
        </row>
        <row r="1432">
          <cell r="A1432" t="str">
            <v>MCBE0387</v>
          </cell>
          <cell r="B1432" t="str">
            <v>outillage couvreur</v>
          </cell>
          <cell r="C1432" t="str">
            <v>outillage bitume</v>
          </cell>
          <cell r="D1432" t="str">
            <v xml:space="preserve">Cartouche Gaz 2400 </v>
          </cell>
        </row>
        <row r="1433">
          <cell r="A1433" t="str">
            <v>MCBE0387</v>
          </cell>
          <cell r="B1433" t="str">
            <v>outillage couvreur</v>
          </cell>
          <cell r="C1433" t="str">
            <v>outillage bitume</v>
          </cell>
          <cell r="D1433" t="str">
            <v xml:space="preserve">Cartouche Gaz 2400 </v>
          </cell>
        </row>
        <row r="1434">
          <cell r="A1434" t="str">
            <v>MCBE0387</v>
          </cell>
          <cell r="B1434" t="str">
            <v>outillage couvreur</v>
          </cell>
          <cell r="C1434" t="str">
            <v>outillage bitume</v>
          </cell>
          <cell r="D1434" t="str">
            <v xml:space="preserve">Cartouche Gaz 2400 </v>
          </cell>
        </row>
        <row r="1435">
          <cell r="A1435" t="str">
            <v>MCBE0388</v>
          </cell>
          <cell r="B1435" t="str">
            <v>outillage couvreur</v>
          </cell>
          <cell r="C1435" t="str">
            <v>outillage bitume</v>
          </cell>
          <cell r="D1435" t="str">
            <v xml:space="preserve">Raccord Tuyau + Tétine 6mm </v>
          </cell>
        </row>
        <row r="1436">
          <cell r="A1436" t="str">
            <v>MCBE0388</v>
          </cell>
          <cell r="B1436" t="str">
            <v>outillage couvreur</v>
          </cell>
          <cell r="C1436" t="str">
            <v>outillage bitume</v>
          </cell>
          <cell r="D1436" t="str">
            <v xml:space="preserve">Raccord Tuyau + Tétine 6mm </v>
          </cell>
        </row>
        <row r="1437">
          <cell r="A1437" t="str">
            <v>MCBE0388</v>
          </cell>
          <cell r="B1437" t="str">
            <v>outillage couvreur</v>
          </cell>
          <cell r="C1437" t="str">
            <v>outillage bitume</v>
          </cell>
          <cell r="D1437" t="str">
            <v xml:space="preserve">Raccord Tuyau + Tétine 6mm </v>
          </cell>
        </row>
        <row r="1438">
          <cell r="A1438" t="str">
            <v>MCBE0388</v>
          </cell>
          <cell r="B1438" t="str">
            <v>outillage couvreur</v>
          </cell>
          <cell r="C1438" t="str">
            <v>outillage bitume</v>
          </cell>
          <cell r="D1438" t="str">
            <v xml:space="preserve">Raccord Tuyau + Tétine 6mm </v>
          </cell>
        </row>
        <row r="1439">
          <cell r="A1439" t="str">
            <v>MCBE0388</v>
          </cell>
          <cell r="B1439" t="str">
            <v>outillage couvreur</v>
          </cell>
          <cell r="C1439" t="str">
            <v>outillage bitume</v>
          </cell>
          <cell r="D1439" t="str">
            <v xml:space="preserve">Raccord Tuyau + Tétine 6mm </v>
          </cell>
        </row>
        <row r="1440">
          <cell r="A1440" t="str">
            <v>MCBE0388</v>
          </cell>
          <cell r="B1440" t="str">
            <v>outillage couvreur</v>
          </cell>
          <cell r="C1440" t="str">
            <v>outillage bitume</v>
          </cell>
          <cell r="D1440" t="str">
            <v xml:space="preserve">Raccord Tuyau + Tétine 6mm </v>
          </cell>
        </row>
        <row r="1441">
          <cell r="A1441" t="str">
            <v>MCBE0389</v>
          </cell>
          <cell r="B1441" t="str">
            <v>outillage couvreur</v>
          </cell>
          <cell r="C1441" t="str">
            <v>outillage bitume</v>
          </cell>
          <cell r="D1441" t="str">
            <v>Raccord Tuyau + Tétine 8mm</v>
          </cell>
        </row>
        <row r="1442">
          <cell r="A1442" t="str">
            <v>MCBE0389</v>
          </cell>
          <cell r="B1442" t="str">
            <v>outillage couvreur</v>
          </cell>
          <cell r="C1442" t="str">
            <v>outillage bitume</v>
          </cell>
          <cell r="D1442" t="str">
            <v>Raccord Tuyau + Tétine 8mm</v>
          </cell>
        </row>
        <row r="1443">
          <cell r="A1443" t="str">
            <v>MCBE0389</v>
          </cell>
          <cell r="B1443" t="str">
            <v>outillage couvreur</v>
          </cell>
          <cell r="C1443" t="str">
            <v>outillage bitume</v>
          </cell>
          <cell r="D1443" t="str">
            <v>Raccord Tuyau + Tétine 8mm</v>
          </cell>
        </row>
        <row r="1444">
          <cell r="A1444" t="str">
            <v>MCBE0389</v>
          </cell>
          <cell r="B1444" t="str">
            <v>outillage couvreur</v>
          </cell>
          <cell r="C1444" t="str">
            <v>outillage bitume</v>
          </cell>
          <cell r="D1444" t="str">
            <v>Raccord Tuyau + Tétine 8mm</v>
          </cell>
        </row>
        <row r="1445">
          <cell r="A1445" t="str">
            <v>MCBE0390</v>
          </cell>
          <cell r="B1445" t="str">
            <v>outillage couvreur</v>
          </cell>
          <cell r="C1445" t="str">
            <v>outillage bitume</v>
          </cell>
          <cell r="D1445" t="str">
            <v xml:space="preserve"> Olive Tournante D. 8mm</v>
          </cell>
        </row>
        <row r="1446">
          <cell r="A1446" t="str">
            <v>MCBE0390</v>
          </cell>
          <cell r="B1446" t="str">
            <v>outillage couvreur</v>
          </cell>
          <cell r="C1446" t="str">
            <v>outillage bitume</v>
          </cell>
          <cell r="D1446" t="str">
            <v xml:space="preserve"> Olive Tournante D. 8mm</v>
          </cell>
        </row>
        <row r="1447">
          <cell r="A1447" t="str">
            <v>MCBE0390</v>
          </cell>
          <cell r="B1447" t="str">
            <v>outillage couvreur</v>
          </cell>
          <cell r="C1447" t="str">
            <v>outillage bitume</v>
          </cell>
          <cell r="D1447" t="str">
            <v xml:space="preserve"> Olive Tournante D. 8mm</v>
          </cell>
        </row>
        <row r="1448">
          <cell r="A1448" t="str">
            <v>MCBE0390</v>
          </cell>
          <cell r="B1448" t="str">
            <v>outillage couvreur</v>
          </cell>
          <cell r="C1448" t="str">
            <v>outillage bitume</v>
          </cell>
          <cell r="D1448" t="str">
            <v xml:space="preserve"> Olive Tournante D. 8mm</v>
          </cell>
        </row>
        <row r="1449">
          <cell r="A1449" t="str">
            <v>MCBE0390</v>
          </cell>
          <cell r="B1449" t="str">
            <v>outillage couvreur</v>
          </cell>
          <cell r="C1449" t="str">
            <v>outillage bitume</v>
          </cell>
          <cell r="D1449" t="str">
            <v xml:space="preserve"> Olive Tournante D. 8mm</v>
          </cell>
        </row>
        <row r="1450">
          <cell r="A1450" t="str">
            <v>MCBE0391</v>
          </cell>
          <cell r="B1450" t="str">
            <v>outillage couvreur</v>
          </cell>
          <cell r="C1450" t="str">
            <v>outillage bitume</v>
          </cell>
          <cell r="D1450" t="str">
            <v xml:space="preserve"> Tuyau Propane L20m D. Int 8mm </v>
          </cell>
        </row>
        <row r="1451">
          <cell r="A1451" t="str">
            <v>MCBE0391</v>
          </cell>
          <cell r="B1451" t="str">
            <v>outillage couvreur</v>
          </cell>
          <cell r="C1451" t="str">
            <v>outillage bitume</v>
          </cell>
          <cell r="D1451" t="str">
            <v xml:space="preserve"> Tuyau Propane L20m D. Int 8mm </v>
          </cell>
        </row>
        <row r="1452">
          <cell r="A1452" t="str">
            <v>MCBE0391</v>
          </cell>
          <cell r="B1452" t="str">
            <v>outillage couvreur</v>
          </cell>
          <cell r="C1452" t="str">
            <v>outillage bitume</v>
          </cell>
          <cell r="D1452" t="str">
            <v xml:space="preserve"> Tuyau Propane L20m D. Int 8mm </v>
          </cell>
        </row>
        <row r="1453">
          <cell r="A1453" t="str">
            <v>MCBE0391</v>
          </cell>
          <cell r="B1453" t="str">
            <v>outillage couvreur</v>
          </cell>
          <cell r="C1453" t="str">
            <v>outillage bitume</v>
          </cell>
          <cell r="D1453" t="str">
            <v xml:space="preserve"> Tuyau Propane L20m D. Int 8mm </v>
          </cell>
        </row>
        <row r="1454">
          <cell r="A1454" t="str">
            <v>MCBE0391</v>
          </cell>
          <cell r="B1454" t="str">
            <v>outillage couvreur</v>
          </cell>
          <cell r="C1454" t="str">
            <v>outillage bitume</v>
          </cell>
          <cell r="D1454" t="str">
            <v xml:space="preserve"> Tuyau Propane L20m D. Int 8mm </v>
          </cell>
        </row>
        <row r="1455">
          <cell r="A1455" t="str">
            <v>MCBE0392</v>
          </cell>
          <cell r="B1455" t="str">
            <v>outillage couvreur</v>
          </cell>
          <cell r="C1455" t="str">
            <v>outillage bitume</v>
          </cell>
          <cell r="D1455" t="str">
            <v xml:space="preserve">Tuyau Propane L40m D. Int 8mm </v>
          </cell>
        </row>
        <row r="1456">
          <cell r="A1456" t="str">
            <v>MCBE0392</v>
          </cell>
          <cell r="B1456" t="str">
            <v>outillage couvreur</v>
          </cell>
          <cell r="C1456" t="str">
            <v>outillage bitume</v>
          </cell>
          <cell r="D1456" t="str">
            <v xml:space="preserve">Tuyau Propane L40m D. Int 8mm </v>
          </cell>
        </row>
        <row r="1457">
          <cell r="A1457" t="str">
            <v>MCBE0392</v>
          </cell>
          <cell r="B1457" t="str">
            <v>outillage couvreur</v>
          </cell>
          <cell r="C1457" t="str">
            <v>outillage bitume</v>
          </cell>
          <cell r="D1457" t="str">
            <v xml:space="preserve">Tuyau Propane L40m D. Int 8mm </v>
          </cell>
        </row>
        <row r="1458">
          <cell r="A1458" t="str">
            <v>MCBE0392</v>
          </cell>
          <cell r="B1458" t="str">
            <v>outillage couvreur</v>
          </cell>
          <cell r="C1458" t="str">
            <v>outillage bitume</v>
          </cell>
          <cell r="D1458" t="str">
            <v xml:space="preserve">Tuyau Propane L40m D. Int 8mm </v>
          </cell>
        </row>
        <row r="1459">
          <cell r="A1459" t="str">
            <v>MCBE0393</v>
          </cell>
          <cell r="B1459" t="str">
            <v>outillage couvreur</v>
          </cell>
          <cell r="C1459" t="str">
            <v>outillage bitume</v>
          </cell>
          <cell r="D1459" t="str">
            <v xml:space="preserve">Tire-Chape </v>
          </cell>
        </row>
        <row r="1460">
          <cell r="A1460" t="str">
            <v>MCBE0393</v>
          </cell>
          <cell r="B1460" t="str">
            <v>outillage couvreur</v>
          </cell>
          <cell r="C1460" t="str">
            <v>outillage bitume</v>
          </cell>
          <cell r="D1460" t="str">
            <v xml:space="preserve">Tire-Chape </v>
          </cell>
        </row>
        <row r="1461">
          <cell r="A1461" t="str">
            <v>MCBE0393</v>
          </cell>
          <cell r="B1461" t="str">
            <v>outillage couvreur</v>
          </cell>
          <cell r="C1461" t="str">
            <v>outillage bitume</v>
          </cell>
          <cell r="D1461" t="str">
            <v xml:space="preserve">Tire-Chape </v>
          </cell>
        </row>
        <row r="1462">
          <cell r="A1462" t="str">
            <v>MCBE0393</v>
          </cell>
          <cell r="B1462" t="str">
            <v>outillage couvreur</v>
          </cell>
          <cell r="C1462" t="str">
            <v>outillage bitume</v>
          </cell>
          <cell r="D1462" t="str">
            <v xml:space="preserve">Tire-Chape </v>
          </cell>
        </row>
        <row r="1463">
          <cell r="A1463" t="str">
            <v>MCBE0393</v>
          </cell>
          <cell r="B1463" t="str">
            <v>outillage couvreur</v>
          </cell>
          <cell r="C1463" t="str">
            <v>outillage bitume</v>
          </cell>
          <cell r="D1463" t="str">
            <v xml:space="preserve">Tire-Chape </v>
          </cell>
        </row>
        <row r="1464">
          <cell r="A1464" t="str">
            <v>MCBE0394</v>
          </cell>
          <cell r="B1464" t="str">
            <v>outillage couvreur</v>
          </cell>
          <cell r="C1464" t="str">
            <v>outillage bitume</v>
          </cell>
          <cell r="D1464" t="str">
            <v xml:space="preserve">Kit Chalumeau Complet BituplasT </v>
          </cell>
        </row>
        <row r="1465">
          <cell r="A1465" t="str">
            <v>MCBE0394</v>
          </cell>
          <cell r="B1465" t="str">
            <v>outillage couvreur</v>
          </cell>
          <cell r="C1465" t="str">
            <v>outillage bitume</v>
          </cell>
          <cell r="D1465" t="str">
            <v xml:space="preserve">Kit Chalumeau Complet BituplasT </v>
          </cell>
        </row>
        <row r="1466">
          <cell r="A1466" t="str">
            <v>MCBE0394</v>
          </cell>
          <cell r="B1466" t="str">
            <v>outillage couvreur</v>
          </cell>
          <cell r="C1466" t="str">
            <v>outillage bitume</v>
          </cell>
          <cell r="D1466" t="str">
            <v xml:space="preserve">Kit Chalumeau Complet BituplasT </v>
          </cell>
        </row>
        <row r="1467">
          <cell r="A1467" t="str">
            <v>MCBE0394</v>
          </cell>
          <cell r="B1467" t="str">
            <v>outillage couvreur</v>
          </cell>
          <cell r="C1467" t="str">
            <v>outillage bitume</v>
          </cell>
          <cell r="D1467" t="str">
            <v xml:space="preserve">Kit Chalumeau Complet BituplasT </v>
          </cell>
        </row>
        <row r="1468">
          <cell r="A1468" t="str">
            <v>MCBE0395</v>
          </cell>
          <cell r="B1468" t="str">
            <v>outillage couvreur</v>
          </cell>
          <cell r="C1468" t="str">
            <v>outillage zingueur</v>
          </cell>
          <cell r="D1468" t="str">
            <v xml:space="preserve">Ensemble Fer à Souder Complet </v>
          </cell>
        </row>
        <row r="1469">
          <cell r="A1469" t="str">
            <v>MCBE0395</v>
          </cell>
          <cell r="B1469" t="str">
            <v>outillage couvreur</v>
          </cell>
          <cell r="C1469" t="str">
            <v>outillage zingueur</v>
          </cell>
          <cell r="D1469" t="str">
            <v xml:space="preserve">Ensemble Fer à Souder Complet </v>
          </cell>
        </row>
        <row r="1470">
          <cell r="A1470" t="str">
            <v>MCBE0395</v>
          </cell>
          <cell r="B1470" t="str">
            <v>outillage couvreur</v>
          </cell>
          <cell r="C1470" t="str">
            <v>outillage zingueur</v>
          </cell>
          <cell r="D1470" t="str">
            <v xml:space="preserve">Ensemble Fer à Souder Complet </v>
          </cell>
        </row>
        <row r="1471">
          <cell r="A1471" t="str">
            <v>MCBE0395</v>
          </cell>
          <cell r="B1471" t="str">
            <v>outillage couvreur</v>
          </cell>
          <cell r="C1471" t="str">
            <v>outillage zingueur</v>
          </cell>
          <cell r="D1471" t="str">
            <v xml:space="preserve">Ensemble Fer à Souder Complet </v>
          </cell>
        </row>
        <row r="1472">
          <cell r="A1472" t="str">
            <v>MCBE0395</v>
          </cell>
          <cell r="B1472" t="str">
            <v>outillage couvreur</v>
          </cell>
          <cell r="C1472" t="str">
            <v>outillage zingueur</v>
          </cell>
          <cell r="D1472" t="str">
            <v xml:space="preserve">Ensemble Fer à Souder Complet </v>
          </cell>
        </row>
        <row r="1473">
          <cell r="A1473" t="str">
            <v>MCBE0395</v>
          </cell>
          <cell r="B1473" t="str">
            <v>outillage couvreur</v>
          </cell>
          <cell r="C1473" t="str">
            <v>outillage zingueur</v>
          </cell>
          <cell r="D1473" t="str">
            <v xml:space="preserve">Ensemble Fer à Souder Complet </v>
          </cell>
        </row>
        <row r="1474">
          <cell r="A1474" t="str">
            <v>MCBE0396</v>
          </cell>
          <cell r="B1474" t="str">
            <v>outillage couvreur</v>
          </cell>
          <cell r="C1474" t="str">
            <v>outillage zingueur</v>
          </cell>
          <cell r="D1474" t="str">
            <v xml:space="preserve">Panne Express 678/236 G 35x3,5 </v>
          </cell>
        </row>
        <row r="1475">
          <cell r="A1475" t="str">
            <v>MCBE0396</v>
          </cell>
          <cell r="B1475" t="str">
            <v>outillage couvreur</v>
          </cell>
          <cell r="C1475" t="str">
            <v>outillage zingueur</v>
          </cell>
          <cell r="D1475" t="str">
            <v xml:space="preserve">Panne Express 678/236 G 35x3,5 </v>
          </cell>
        </row>
        <row r="1476">
          <cell r="A1476" t="str">
            <v>MCBE0396</v>
          </cell>
          <cell r="B1476" t="str">
            <v>outillage couvreur</v>
          </cell>
          <cell r="C1476" t="str">
            <v>outillage zingueur</v>
          </cell>
          <cell r="D1476" t="str">
            <v xml:space="preserve">Panne Express 678/236 G 35x3,5 </v>
          </cell>
        </row>
        <row r="1477">
          <cell r="A1477" t="str">
            <v>MCBE0396</v>
          </cell>
          <cell r="B1477" t="str">
            <v>outillage couvreur</v>
          </cell>
          <cell r="C1477" t="str">
            <v>outillage zingueur</v>
          </cell>
          <cell r="D1477" t="str">
            <v xml:space="preserve">Panne Express 678/236 G 35x3,5 </v>
          </cell>
        </row>
        <row r="1478">
          <cell r="A1478" t="str">
            <v>MCBE0396</v>
          </cell>
          <cell r="B1478" t="str">
            <v>outillage couvreur</v>
          </cell>
          <cell r="C1478" t="str">
            <v>outillage zingueur</v>
          </cell>
          <cell r="D1478" t="str">
            <v xml:space="preserve">Panne Express 678/236 G 35x3,5 </v>
          </cell>
        </row>
        <row r="1479">
          <cell r="A1479" t="str">
            <v>MCBE0396</v>
          </cell>
          <cell r="B1479" t="str">
            <v>outillage couvreur</v>
          </cell>
          <cell r="C1479" t="str">
            <v>outillage zingueur</v>
          </cell>
          <cell r="D1479" t="str">
            <v xml:space="preserve">Panne Express 678/236 G 35x3,5 </v>
          </cell>
        </row>
        <row r="1480">
          <cell r="A1480" t="str">
            <v>MCBE0397</v>
          </cell>
          <cell r="B1480" t="str">
            <v>outillage couvreur</v>
          </cell>
          <cell r="C1480" t="str">
            <v>outillage zingueur</v>
          </cell>
          <cell r="D1480" t="str">
            <v>Panne Express 679/315 G 45x5</v>
          </cell>
        </row>
        <row r="1481">
          <cell r="A1481" t="str">
            <v>MCBE0397</v>
          </cell>
          <cell r="B1481" t="str">
            <v>outillage couvreur</v>
          </cell>
          <cell r="C1481" t="str">
            <v>outillage zingueur</v>
          </cell>
          <cell r="D1481" t="str">
            <v>Panne Express 679/315 G 45x5</v>
          </cell>
        </row>
        <row r="1482">
          <cell r="A1482" t="str">
            <v>MCBE0397</v>
          </cell>
          <cell r="B1482" t="str">
            <v>outillage couvreur</v>
          </cell>
          <cell r="C1482" t="str">
            <v>outillage zingueur</v>
          </cell>
          <cell r="D1482" t="str">
            <v>Panne Express 679/315 G 45x5</v>
          </cell>
        </row>
        <row r="1483">
          <cell r="A1483" t="str">
            <v>MCBE0397</v>
          </cell>
          <cell r="B1483" t="str">
            <v>outillage couvreur</v>
          </cell>
          <cell r="C1483" t="str">
            <v>outillage zingueur</v>
          </cell>
          <cell r="D1483" t="str">
            <v>Panne Express 679/315 G 45x5</v>
          </cell>
        </row>
        <row r="1484">
          <cell r="A1484" t="str">
            <v>MCBE0397</v>
          </cell>
          <cell r="B1484" t="str">
            <v>outillage couvreur</v>
          </cell>
          <cell r="C1484" t="str">
            <v>outillage zingueur</v>
          </cell>
          <cell r="D1484" t="str">
            <v>Panne Express 679/315 G 45x5</v>
          </cell>
        </row>
        <row r="1485">
          <cell r="A1485" t="str">
            <v>MCBE0397</v>
          </cell>
          <cell r="B1485" t="str">
            <v>outillage couvreur</v>
          </cell>
          <cell r="C1485" t="str">
            <v>outillage zingueur</v>
          </cell>
          <cell r="D1485" t="str">
            <v>Panne Express 679/315 G 45x5</v>
          </cell>
        </row>
        <row r="1486">
          <cell r="A1486" t="str">
            <v>MCBE0398</v>
          </cell>
          <cell r="B1486" t="str">
            <v>outillage couvreur</v>
          </cell>
          <cell r="C1486" t="str">
            <v>outillage zingueur</v>
          </cell>
          <cell r="D1486" t="str">
            <v xml:space="preserve">Bouteille Portative Vide 1,7 kg </v>
          </cell>
        </row>
        <row r="1487">
          <cell r="A1487" t="str">
            <v>MCBE0398</v>
          </cell>
          <cell r="B1487" t="str">
            <v>outillage couvreur</v>
          </cell>
          <cell r="C1487" t="str">
            <v>outillage zingueur</v>
          </cell>
          <cell r="D1487" t="str">
            <v xml:space="preserve">Bouteille Portative Vide 1,7 kg </v>
          </cell>
        </row>
        <row r="1488">
          <cell r="A1488" t="str">
            <v>MCBE0398</v>
          </cell>
          <cell r="B1488" t="str">
            <v>outillage couvreur</v>
          </cell>
          <cell r="C1488" t="str">
            <v>outillage zingueur</v>
          </cell>
          <cell r="D1488" t="str">
            <v xml:space="preserve">Bouteille Portative Vide 1,7 kg </v>
          </cell>
        </row>
        <row r="1489">
          <cell r="A1489" t="str">
            <v>MCBE0398</v>
          </cell>
          <cell r="B1489" t="str">
            <v>outillage couvreur</v>
          </cell>
          <cell r="C1489" t="str">
            <v>outillage zingueur</v>
          </cell>
          <cell r="D1489" t="str">
            <v xml:space="preserve">Bouteille Portative Vide 1,7 kg </v>
          </cell>
        </row>
        <row r="1490">
          <cell r="A1490" t="str">
            <v>MCBE0398</v>
          </cell>
          <cell r="B1490" t="str">
            <v>outillage couvreur</v>
          </cell>
          <cell r="C1490" t="str">
            <v>outillage zingueur</v>
          </cell>
          <cell r="D1490" t="str">
            <v xml:space="preserve">Bouteille Portative Vide 1,7 kg </v>
          </cell>
        </row>
        <row r="1491">
          <cell r="A1491" t="str">
            <v>MCBE0398</v>
          </cell>
          <cell r="B1491" t="str">
            <v>outillage couvreur</v>
          </cell>
          <cell r="C1491" t="str">
            <v>outillage zingueur</v>
          </cell>
          <cell r="D1491" t="str">
            <v xml:space="preserve">Bouteille Portative Vide 1,7 kg </v>
          </cell>
        </row>
        <row r="1492">
          <cell r="A1492" t="str">
            <v>MCBE0399</v>
          </cell>
          <cell r="B1492" t="str">
            <v>outillage couvreur</v>
          </cell>
          <cell r="C1492" t="str">
            <v>outillage zingueur</v>
          </cell>
          <cell r="D1492" t="str">
            <v xml:space="preserve"> Allumeur + Etui de 5 Pierres</v>
          </cell>
        </row>
        <row r="1493">
          <cell r="A1493" t="str">
            <v>MCBE0399</v>
          </cell>
          <cell r="B1493" t="str">
            <v>outillage couvreur</v>
          </cell>
          <cell r="C1493" t="str">
            <v>outillage zingueur</v>
          </cell>
          <cell r="D1493" t="str">
            <v xml:space="preserve"> Allumeur + Etui de 5 Pierres</v>
          </cell>
        </row>
        <row r="1494">
          <cell r="A1494" t="str">
            <v>MCBE0399</v>
          </cell>
          <cell r="B1494" t="str">
            <v>outillage couvreur</v>
          </cell>
          <cell r="C1494" t="str">
            <v>outillage zingueur</v>
          </cell>
          <cell r="D1494" t="str">
            <v xml:space="preserve"> Allumeur + Etui de 5 Pierres</v>
          </cell>
        </row>
        <row r="1495">
          <cell r="A1495" t="str">
            <v>MCBE0399</v>
          </cell>
          <cell r="B1495" t="str">
            <v>outillage couvreur</v>
          </cell>
          <cell r="C1495" t="str">
            <v>outillage zingueur</v>
          </cell>
          <cell r="D1495" t="str">
            <v xml:space="preserve"> Allumeur + Etui de 5 Pierres</v>
          </cell>
        </row>
        <row r="1496">
          <cell r="A1496" t="str">
            <v>MCBE0399</v>
          </cell>
          <cell r="B1496" t="str">
            <v>outillage couvreur</v>
          </cell>
          <cell r="C1496" t="str">
            <v>outillage zingueur</v>
          </cell>
          <cell r="D1496" t="str">
            <v xml:space="preserve"> Allumeur + Etui de 5 Pierres</v>
          </cell>
        </row>
        <row r="1497">
          <cell r="A1497" t="str">
            <v>MCBE0399</v>
          </cell>
          <cell r="B1497" t="str">
            <v>outillage couvreur</v>
          </cell>
          <cell r="C1497" t="str">
            <v>outillage zingueur</v>
          </cell>
          <cell r="D1497" t="str">
            <v xml:space="preserve"> Allumeur + Etui de 5 Pierres</v>
          </cell>
        </row>
        <row r="1498">
          <cell r="A1498" t="str">
            <v>MCBE0400</v>
          </cell>
          <cell r="B1498" t="str">
            <v>outillage couvreur</v>
          </cell>
          <cell r="C1498" t="str">
            <v>outillage zingueur</v>
          </cell>
          <cell r="D1498" t="str">
            <v xml:space="preserve">Etui de 5 Pierres de rechange ref frs 5498 </v>
          </cell>
        </row>
        <row r="1499">
          <cell r="A1499" t="str">
            <v>MCBE0400</v>
          </cell>
          <cell r="B1499" t="str">
            <v>outillage couvreur</v>
          </cell>
          <cell r="C1499" t="str">
            <v>outillage zingueur</v>
          </cell>
          <cell r="D1499" t="str">
            <v xml:space="preserve">Etui de 5 Pierres de rechange ref frs 5498 </v>
          </cell>
        </row>
        <row r="1500">
          <cell r="A1500" t="str">
            <v>MCBE0400</v>
          </cell>
          <cell r="B1500" t="str">
            <v>outillage couvreur</v>
          </cell>
          <cell r="C1500" t="str">
            <v>outillage zingueur</v>
          </cell>
          <cell r="D1500" t="str">
            <v xml:space="preserve">Etui de 5 Pierres de rechange ref frs 5498 </v>
          </cell>
        </row>
        <row r="1501">
          <cell r="A1501" t="str">
            <v>MCBE0400</v>
          </cell>
          <cell r="B1501" t="str">
            <v>outillage couvreur</v>
          </cell>
          <cell r="C1501" t="str">
            <v>outillage zingueur</v>
          </cell>
          <cell r="D1501" t="str">
            <v xml:space="preserve">Etui de 5 Pierres de rechange ref frs 5498 </v>
          </cell>
        </row>
        <row r="1502">
          <cell r="A1502" t="str">
            <v>MCBE0400</v>
          </cell>
          <cell r="B1502" t="str">
            <v>outillage couvreur</v>
          </cell>
          <cell r="C1502" t="str">
            <v>outillage zingueur</v>
          </cell>
          <cell r="D1502" t="str">
            <v xml:space="preserve">Etui de 5 Pierres de rechange ref frs 5498 </v>
          </cell>
        </row>
        <row r="1503">
          <cell r="A1503" t="str">
            <v>MCBE0400</v>
          </cell>
          <cell r="B1503" t="str">
            <v>outillage couvreur</v>
          </cell>
          <cell r="C1503" t="str">
            <v>outillage zingueur</v>
          </cell>
          <cell r="D1503" t="str">
            <v xml:space="preserve">Etui de 5 Pierres de rechange ref frs 5498 </v>
          </cell>
        </row>
        <row r="1504">
          <cell r="A1504" t="str">
            <v>MCBE0401</v>
          </cell>
          <cell r="B1504" t="str">
            <v>outillage couvreur</v>
          </cell>
          <cell r="C1504" t="str">
            <v>outillage zingueur</v>
          </cell>
          <cell r="D1504" t="str">
            <v>Décapant 841 Zinc Usagé 0,34 L</v>
          </cell>
        </row>
        <row r="1505">
          <cell r="A1505" t="str">
            <v>MCBE0401</v>
          </cell>
          <cell r="B1505" t="str">
            <v>outillage couvreur</v>
          </cell>
          <cell r="C1505" t="str">
            <v>outillage zingueur</v>
          </cell>
          <cell r="D1505" t="str">
            <v>Décapant 841 Zinc Usagé 0,34 L</v>
          </cell>
        </row>
        <row r="1506">
          <cell r="A1506" t="str">
            <v>MCBE0401</v>
          </cell>
          <cell r="B1506" t="str">
            <v>outillage couvreur</v>
          </cell>
          <cell r="C1506" t="str">
            <v>outillage zingueur</v>
          </cell>
          <cell r="D1506" t="str">
            <v>Décapant 841 Zinc Usagé 0,34 L</v>
          </cell>
        </row>
        <row r="1507">
          <cell r="A1507" t="str">
            <v>MCBE0401</v>
          </cell>
          <cell r="B1507" t="str">
            <v>outillage couvreur</v>
          </cell>
          <cell r="C1507" t="str">
            <v>outillage zingueur</v>
          </cell>
          <cell r="D1507" t="str">
            <v>Décapant 841 Zinc Usagé 0,34 L</v>
          </cell>
        </row>
        <row r="1508">
          <cell r="A1508" t="str">
            <v>MCBE0401</v>
          </cell>
          <cell r="B1508" t="str">
            <v>outillage couvreur</v>
          </cell>
          <cell r="C1508" t="str">
            <v>outillage zingueur</v>
          </cell>
          <cell r="D1508" t="str">
            <v>Décapant 841 Zinc Usagé 0,34 L</v>
          </cell>
        </row>
        <row r="1509">
          <cell r="A1509" t="str">
            <v>MCBE0402</v>
          </cell>
          <cell r="B1509" t="str">
            <v>outillage couvreur</v>
          </cell>
          <cell r="C1509" t="str">
            <v>outillage zingueur</v>
          </cell>
          <cell r="D1509" t="str">
            <v xml:space="preserve">Griffe au Carbure/Fibro Ciment </v>
          </cell>
        </row>
        <row r="1510">
          <cell r="A1510" t="str">
            <v>MCBE0402</v>
          </cell>
          <cell r="B1510" t="str">
            <v>outillage couvreur</v>
          </cell>
          <cell r="C1510" t="str">
            <v>outillage zingueur</v>
          </cell>
          <cell r="D1510" t="str">
            <v xml:space="preserve">Griffe au Carbure/Fibro Ciment </v>
          </cell>
        </row>
        <row r="1511">
          <cell r="A1511" t="str">
            <v>MCBE0402</v>
          </cell>
          <cell r="B1511" t="str">
            <v>outillage couvreur</v>
          </cell>
          <cell r="C1511" t="str">
            <v>outillage zingueur</v>
          </cell>
          <cell r="D1511" t="str">
            <v xml:space="preserve">Griffe au Carbure/Fibro Ciment </v>
          </cell>
        </row>
        <row r="1512">
          <cell r="A1512" t="str">
            <v>MCBE0402</v>
          </cell>
          <cell r="B1512" t="str">
            <v>outillage couvreur</v>
          </cell>
          <cell r="C1512" t="str">
            <v>outillage zingueur</v>
          </cell>
          <cell r="D1512" t="str">
            <v xml:space="preserve">Griffe au Carbure/Fibro Ciment </v>
          </cell>
        </row>
        <row r="1513">
          <cell r="A1513" t="str">
            <v>MCBE0402</v>
          </cell>
          <cell r="B1513" t="str">
            <v>outillage couvreur</v>
          </cell>
          <cell r="C1513" t="str">
            <v>outillage zingueur</v>
          </cell>
          <cell r="D1513" t="str">
            <v xml:space="preserve">Griffe au Carbure/Fibro Ciment </v>
          </cell>
        </row>
        <row r="1514">
          <cell r="A1514" t="str">
            <v>MCBE0402</v>
          </cell>
          <cell r="B1514" t="str">
            <v>outillage couvreur</v>
          </cell>
          <cell r="C1514" t="str">
            <v>outillage zingueur</v>
          </cell>
          <cell r="D1514" t="str">
            <v xml:space="preserve">Griffe au Carbure/Fibro Ciment </v>
          </cell>
        </row>
        <row r="1515">
          <cell r="A1515" t="str">
            <v>MCBE0403</v>
          </cell>
          <cell r="B1515" t="str">
            <v>outillage couvreur</v>
          </cell>
          <cell r="C1515" t="str">
            <v>outillage zingueur</v>
          </cell>
          <cell r="D1515" t="str">
            <v xml:space="preserve">Ensemble sur Platine DIPAG </v>
          </cell>
        </row>
        <row r="1516">
          <cell r="A1516" t="str">
            <v>MCBE0403</v>
          </cell>
          <cell r="B1516" t="str">
            <v>outillage couvreur</v>
          </cell>
          <cell r="C1516" t="str">
            <v>outillage zingueur</v>
          </cell>
          <cell r="D1516" t="str">
            <v xml:space="preserve">Ensemble sur Platine DIPAG </v>
          </cell>
        </row>
        <row r="1517">
          <cell r="A1517" t="str">
            <v>MCBE0403</v>
          </cell>
          <cell r="B1517" t="str">
            <v>outillage couvreur</v>
          </cell>
          <cell r="C1517" t="str">
            <v>outillage zingueur</v>
          </cell>
          <cell r="D1517" t="str">
            <v xml:space="preserve">Ensemble sur Platine DIPAG </v>
          </cell>
        </row>
        <row r="1518">
          <cell r="A1518" t="str">
            <v>MCBE0403</v>
          </cell>
          <cell r="B1518" t="str">
            <v>outillage couvreur</v>
          </cell>
          <cell r="C1518" t="str">
            <v>outillage zingueur</v>
          </cell>
          <cell r="D1518" t="str">
            <v xml:space="preserve">Ensemble sur Platine DIPAG </v>
          </cell>
        </row>
        <row r="1519">
          <cell r="A1519" t="str">
            <v>MCBE0403</v>
          </cell>
          <cell r="B1519" t="str">
            <v>outillage couvreur</v>
          </cell>
          <cell r="C1519" t="str">
            <v>outillage zingueur</v>
          </cell>
          <cell r="D1519" t="str">
            <v xml:space="preserve">Ensemble sur Platine DIPAG </v>
          </cell>
        </row>
        <row r="1520">
          <cell r="A1520" t="str">
            <v>MCBE0403</v>
          </cell>
          <cell r="B1520" t="str">
            <v>outillage couvreur</v>
          </cell>
          <cell r="C1520" t="str">
            <v>outillage zingueur</v>
          </cell>
          <cell r="D1520" t="str">
            <v xml:space="preserve">Ensemble sur Platine DIPAG </v>
          </cell>
        </row>
        <row r="1521">
          <cell r="A1521" t="str">
            <v>MCBE0404</v>
          </cell>
          <cell r="B1521" t="str">
            <v>outillage couvreur</v>
          </cell>
          <cell r="C1521" t="str">
            <v>outillage zingueur</v>
          </cell>
          <cell r="D1521" t="str">
            <v>Tracette à Zinc</v>
          </cell>
        </row>
        <row r="1522">
          <cell r="A1522" t="str">
            <v>MCBE0404</v>
          </cell>
          <cell r="B1522" t="str">
            <v>outillage couvreur</v>
          </cell>
          <cell r="C1522" t="str">
            <v>outillage zingueur</v>
          </cell>
          <cell r="D1522" t="str">
            <v>Tracette à Zinc</v>
          </cell>
        </row>
        <row r="1523">
          <cell r="A1523" t="str">
            <v>MCBE0404</v>
          </cell>
          <cell r="B1523" t="str">
            <v>outillage couvreur</v>
          </cell>
          <cell r="C1523" t="str">
            <v>outillage zingueur</v>
          </cell>
          <cell r="D1523" t="str">
            <v>Tracette à Zinc</v>
          </cell>
        </row>
        <row r="1524">
          <cell r="A1524" t="str">
            <v>MCBE0404</v>
          </cell>
          <cell r="B1524" t="str">
            <v>outillage couvreur</v>
          </cell>
          <cell r="C1524" t="str">
            <v>outillage zingueur</v>
          </cell>
          <cell r="D1524" t="str">
            <v>Tracette à Zinc</v>
          </cell>
        </row>
        <row r="1525">
          <cell r="A1525" t="str">
            <v>MCBE0404</v>
          </cell>
          <cell r="B1525" t="str">
            <v>outillage couvreur</v>
          </cell>
          <cell r="C1525" t="str">
            <v>outillage zingueur</v>
          </cell>
          <cell r="D1525" t="str">
            <v>Tracette à Zinc</v>
          </cell>
        </row>
        <row r="1526">
          <cell r="A1526" t="str">
            <v>MCBE0404</v>
          </cell>
          <cell r="B1526" t="str">
            <v>outillage couvreur</v>
          </cell>
          <cell r="C1526" t="str">
            <v>outillage zingueur</v>
          </cell>
          <cell r="D1526" t="str">
            <v>Tracette à Zinc</v>
          </cell>
        </row>
        <row r="1527">
          <cell r="A1527" t="str">
            <v>MCBE0405</v>
          </cell>
          <cell r="B1527" t="str">
            <v>outillage couvreur</v>
          </cell>
          <cell r="C1527" t="str">
            <v>outillage zingueur</v>
          </cell>
          <cell r="D1527" t="str">
            <v>Chalumeaux - Outils PVC - Fondoir - Outils Couvreur</v>
          </cell>
        </row>
        <row r="1528">
          <cell r="A1528" t="str">
            <v>MCBE0405</v>
          </cell>
          <cell r="B1528" t="str">
            <v>outillage couvreur</v>
          </cell>
          <cell r="C1528" t="str">
            <v>outillage zingueur</v>
          </cell>
          <cell r="D1528" t="str">
            <v>Chalumeaux - Outils PVC - Fondoir - Outils Couvreur</v>
          </cell>
        </row>
        <row r="1529">
          <cell r="A1529" t="str">
            <v>MCBE0405</v>
          </cell>
          <cell r="B1529" t="str">
            <v>outillage couvreur</v>
          </cell>
          <cell r="C1529" t="str">
            <v>outillage zingueur</v>
          </cell>
          <cell r="D1529" t="str">
            <v>Chalumeaux - Outils PVC - Fondoir - Outils Couvreur</v>
          </cell>
        </row>
        <row r="1530">
          <cell r="A1530" t="str">
            <v>MCBE0405</v>
          </cell>
          <cell r="B1530" t="str">
            <v>outillage couvreur</v>
          </cell>
          <cell r="C1530" t="str">
            <v>outillage zingueur</v>
          </cell>
          <cell r="D1530" t="str">
            <v>Chalumeaux - Outils PVC - Fondoir - Outils Couvreur</v>
          </cell>
        </row>
        <row r="1531">
          <cell r="A1531" t="str">
            <v>MCBE0406</v>
          </cell>
          <cell r="B1531" t="str">
            <v>outillage couvreur</v>
          </cell>
          <cell r="C1531" t="str">
            <v>outillage zingueur</v>
          </cell>
          <cell r="D1531" t="str">
            <v xml:space="preserve">Triac ST 230V 1600W </v>
          </cell>
        </row>
        <row r="1532">
          <cell r="A1532" t="str">
            <v>MCBE0406</v>
          </cell>
          <cell r="B1532" t="str">
            <v>outillage couvreur</v>
          </cell>
          <cell r="C1532" t="str">
            <v>outillage zingueur</v>
          </cell>
          <cell r="D1532" t="str">
            <v xml:space="preserve">Triac ST 230V 1600W </v>
          </cell>
        </row>
        <row r="1533">
          <cell r="A1533" t="str">
            <v>MCBE0406</v>
          </cell>
          <cell r="B1533" t="str">
            <v>outillage couvreur</v>
          </cell>
          <cell r="C1533" t="str">
            <v>outillage zingueur</v>
          </cell>
          <cell r="D1533" t="str">
            <v xml:space="preserve">Triac ST 230V 1600W </v>
          </cell>
        </row>
        <row r="1534">
          <cell r="A1534" t="str">
            <v>MCBE0406</v>
          </cell>
          <cell r="B1534" t="str">
            <v>outillage couvreur</v>
          </cell>
          <cell r="C1534" t="str">
            <v>outillage zingueur</v>
          </cell>
          <cell r="D1534" t="str">
            <v xml:space="preserve">Triac ST 230V 1600W </v>
          </cell>
        </row>
        <row r="1535">
          <cell r="A1535" t="str">
            <v>MCBE0406</v>
          </cell>
          <cell r="B1535" t="str">
            <v>outillage couvreur</v>
          </cell>
          <cell r="C1535" t="str">
            <v>outillage zingueur</v>
          </cell>
          <cell r="D1535" t="str">
            <v xml:space="preserve">Triac ST 230V 1600W </v>
          </cell>
        </row>
        <row r="1536">
          <cell r="A1536" t="str">
            <v>MCBE0406</v>
          </cell>
          <cell r="B1536" t="str">
            <v>outillage couvreur</v>
          </cell>
          <cell r="C1536" t="str">
            <v>outillage zingueur</v>
          </cell>
          <cell r="D1536" t="str">
            <v xml:space="preserve">Triac ST 230V 1600W </v>
          </cell>
        </row>
        <row r="1537">
          <cell r="A1537" t="str">
            <v>MCBE0407</v>
          </cell>
          <cell r="B1537" t="str">
            <v>outillage couvreur</v>
          </cell>
          <cell r="C1537" t="str">
            <v>outillage PVC</v>
          </cell>
          <cell r="D1537" t="str">
            <v>Triac AT 230V 1600W</v>
          </cell>
        </row>
        <row r="1538">
          <cell r="A1538" t="str">
            <v>MCBE0407</v>
          </cell>
          <cell r="B1538" t="str">
            <v>outillage couvreur</v>
          </cell>
          <cell r="C1538" t="str">
            <v>outillage PVC</v>
          </cell>
          <cell r="D1538" t="str">
            <v>Triac AT 230V 1600W</v>
          </cell>
        </row>
        <row r="1539">
          <cell r="A1539" t="str">
            <v>MCBE0407</v>
          </cell>
          <cell r="B1539" t="str">
            <v>outillage couvreur</v>
          </cell>
          <cell r="C1539" t="str">
            <v>outillage PVC</v>
          </cell>
          <cell r="D1539" t="str">
            <v>Triac AT 230V 1600W</v>
          </cell>
        </row>
        <row r="1540">
          <cell r="A1540" t="str">
            <v>MCBE0407</v>
          </cell>
          <cell r="B1540" t="str">
            <v>outillage couvreur</v>
          </cell>
          <cell r="C1540" t="str">
            <v>outillage PVC</v>
          </cell>
          <cell r="D1540" t="str">
            <v>Triac AT 230V 1600W</v>
          </cell>
        </row>
        <row r="1541">
          <cell r="A1541" t="str">
            <v>MCBE0407</v>
          </cell>
          <cell r="B1541" t="str">
            <v>outillage couvreur</v>
          </cell>
          <cell r="C1541" t="str">
            <v>outillage PVC</v>
          </cell>
          <cell r="D1541" t="str">
            <v>Triac AT 230V 1600W</v>
          </cell>
        </row>
        <row r="1542">
          <cell r="A1542" t="str">
            <v>MCBE0407</v>
          </cell>
          <cell r="B1542" t="str">
            <v>outillage couvreur</v>
          </cell>
          <cell r="C1542" t="str">
            <v>outillage PVC</v>
          </cell>
          <cell r="D1542" t="str">
            <v>Triac AT 230V 1600W</v>
          </cell>
        </row>
        <row r="1543">
          <cell r="A1543" t="str">
            <v>MCBE0408</v>
          </cell>
          <cell r="B1543" t="str">
            <v>outillage couvreur</v>
          </cell>
          <cell r="C1543" t="str">
            <v>outillage PVC</v>
          </cell>
          <cell r="D1543" t="str">
            <v>Résistance Triac AT ou ST Marque LEISTER</v>
          </cell>
        </row>
        <row r="1544">
          <cell r="A1544" t="str">
            <v>MCBE0408</v>
          </cell>
          <cell r="B1544" t="str">
            <v>outillage couvreur</v>
          </cell>
          <cell r="C1544" t="str">
            <v>outillage PVC</v>
          </cell>
          <cell r="D1544" t="str">
            <v>Résistance Triac AT ou ST Marque LEISTER</v>
          </cell>
        </row>
        <row r="1545">
          <cell r="A1545" t="str">
            <v>MCBE0408</v>
          </cell>
          <cell r="B1545" t="str">
            <v>outillage couvreur</v>
          </cell>
          <cell r="C1545" t="str">
            <v>outillage PVC</v>
          </cell>
          <cell r="D1545" t="str">
            <v>Résistance Triac AT ou ST Marque LEISTER</v>
          </cell>
        </row>
        <row r="1546">
          <cell r="A1546" t="str">
            <v>MCBE0408</v>
          </cell>
          <cell r="B1546" t="str">
            <v>outillage couvreur</v>
          </cell>
          <cell r="C1546" t="str">
            <v>outillage PVC</v>
          </cell>
          <cell r="D1546" t="str">
            <v>Résistance Triac AT ou ST Marque LEISTER</v>
          </cell>
        </row>
        <row r="1547">
          <cell r="A1547" t="str">
            <v>MCBE0408</v>
          </cell>
          <cell r="B1547" t="str">
            <v>outillage couvreur</v>
          </cell>
          <cell r="C1547" t="str">
            <v>outillage PVC</v>
          </cell>
          <cell r="D1547" t="str">
            <v>Résistance Triac AT ou ST Marque LEISTER</v>
          </cell>
        </row>
        <row r="1548">
          <cell r="A1548" t="str">
            <v>MCBE0409</v>
          </cell>
          <cell r="B1548" t="str">
            <v>outillage couvreur</v>
          </cell>
          <cell r="C1548" t="str">
            <v>outillage PVC</v>
          </cell>
          <cell r="D1548" t="str">
            <v xml:space="preserve">Varimat V2 230V-4, 6kw-40mm PVC </v>
          </cell>
        </row>
        <row r="1549">
          <cell r="A1549" t="str">
            <v>MCBE0409</v>
          </cell>
          <cell r="B1549" t="str">
            <v>outillage couvreur</v>
          </cell>
          <cell r="C1549" t="str">
            <v>outillage PVC</v>
          </cell>
          <cell r="D1549" t="str">
            <v xml:space="preserve">Varimat V2 230V-4, 6kw-40mm PVC </v>
          </cell>
        </row>
        <row r="1550">
          <cell r="A1550" t="str">
            <v>MCBE0409</v>
          </cell>
          <cell r="B1550" t="str">
            <v>outillage couvreur</v>
          </cell>
          <cell r="C1550" t="str">
            <v>outillage PVC</v>
          </cell>
          <cell r="D1550" t="str">
            <v xml:space="preserve">Varimat V2 230V-4, 6kw-40mm PVC </v>
          </cell>
        </row>
        <row r="1551">
          <cell r="A1551" t="str">
            <v>MCBE0409</v>
          </cell>
          <cell r="B1551" t="str">
            <v>outillage couvreur</v>
          </cell>
          <cell r="C1551" t="str">
            <v>outillage PVC</v>
          </cell>
          <cell r="D1551" t="str">
            <v xml:space="preserve">Varimat V2 230V-4, 6kw-40mm PVC </v>
          </cell>
        </row>
        <row r="1552">
          <cell r="A1552" t="str">
            <v>MCBE0410</v>
          </cell>
          <cell r="B1552" t="str">
            <v>outillage couvreur</v>
          </cell>
          <cell r="C1552" t="str">
            <v>outillage PVC</v>
          </cell>
          <cell r="D1552" t="str">
            <v xml:space="preserve">Laron 40MM 230V 4,6KW </v>
          </cell>
        </row>
        <row r="1553">
          <cell r="A1553" t="str">
            <v>MCBE0410</v>
          </cell>
          <cell r="B1553" t="str">
            <v>outillage couvreur</v>
          </cell>
          <cell r="C1553" t="str">
            <v>outillage PVC</v>
          </cell>
          <cell r="D1553" t="str">
            <v xml:space="preserve">Laron 40MM 230V 4,6KW </v>
          </cell>
        </row>
        <row r="1554">
          <cell r="A1554" t="str">
            <v>MCBE0410</v>
          </cell>
          <cell r="B1554" t="str">
            <v>outillage couvreur</v>
          </cell>
          <cell r="C1554" t="str">
            <v>outillage PVC</v>
          </cell>
          <cell r="D1554" t="str">
            <v xml:space="preserve">Laron 40MM 230V 4,6KW </v>
          </cell>
        </row>
        <row r="1555">
          <cell r="A1555" t="str">
            <v>MCBE0410</v>
          </cell>
          <cell r="B1555" t="str">
            <v>outillage couvreur</v>
          </cell>
          <cell r="C1555" t="str">
            <v>outillage PVC</v>
          </cell>
          <cell r="D1555" t="str">
            <v xml:space="preserve">Laron 40MM 230V 4,6KW </v>
          </cell>
        </row>
        <row r="1556">
          <cell r="A1556" t="str">
            <v>MCBE0411</v>
          </cell>
          <cell r="B1556" t="str">
            <v>outillage couvreur</v>
          </cell>
          <cell r="C1556" t="str">
            <v>outillage PVC</v>
          </cell>
          <cell r="D1556" t="str">
            <v xml:space="preserve">Résistance 230V-220W Laron Marque HERZ </v>
          </cell>
        </row>
        <row r="1557">
          <cell r="A1557" t="str">
            <v>MCBE0411</v>
          </cell>
          <cell r="B1557" t="str">
            <v>outillage couvreur</v>
          </cell>
          <cell r="C1557" t="str">
            <v>outillage PVC</v>
          </cell>
          <cell r="D1557" t="str">
            <v xml:space="preserve">Résistance 230V-220W Laron Marque HERZ </v>
          </cell>
        </row>
        <row r="1558">
          <cell r="A1558" t="str">
            <v>MCBE0411</v>
          </cell>
          <cell r="B1558" t="str">
            <v>outillage couvreur</v>
          </cell>
          <cell r="C1558" t="str">
            <v>outillage PVC</v>
          </cell>
          <cell r="D1558" t="str">
            <v xml:space="preserve">Résistance 230V-220W Laron Marque HERZ </v>
          </cell>
        </row>
        <row r="1559">
          <cell r="A1559" t="str">
            <v>MCBE0411</v>
          </cell>
          <cell r="B1559" t="str">
            <v>outillage couvreur</v>
          </cell>
          <cell r="C1559" t="str">
            <v>outillage PVC</v>
          </cell>
          <cell r="D1559" t="str">
            <v xml:space="preserve">Résistance 230V-220W Laron Marque HERZ </v>
          </cell>
        </row>
        <row r="1560">
          <cell r="A1560" t="str">
            <v>MCBE0412</v>
          </cell>
          <cell r="B1560" t="str">
            <v>outillage couvreur</v>
          </cell>
          <cell r="C1560" t="str">
            <v>outillage PVC</v>
          </cell>
          <cell r="D1560" t="str">
            <v xml:space="preserve">Rouleau Maroufleur 40mm marque Leister </v>
          </cell>
        </row>
        <row r="1561">
          <cell r="A1561" t="str">
            <v>MCBE0412</v>
          </cell>
          <cell r="B1561" t="str">
            <v>outillage couvreur</v>
          </cell>
          <cell r="C1561" t="str">
            <v>outillage PVC</v>
          </cell>
          <cell r="D1561" t="str">
            <v xml:space="preserve">Rouleau Maroufleur 40mm marque Leister </v>
          </cell>
        </row>
        <row r="1562">
          <cell r="A1562" t="str">
            <v>MCBE0412</v>
          </cell>
          <cell r="B1562" t="str">
            <v>outillage couvreur</v>
          </cell>
          <cell r="C1562" t="str">
            <v>outillage PVC</v>
          </cell>
          <cell r="D1562" t="str">
            <v xml:space="preserve">Rouleau Maroufleur 40mm marque Leister </v>
          </cell>
        </row>
        <row r="1563">
          <cell r="A1563" t="str">
            <v>MCBE0412</v>
          </cell>
          <cell r="B1563" t="str">
            <v>outillage couvreur</v>
          </cell>
          <cell r="C1563" t="str">
            <v>outillage PVC</v>
          </cell>
          <cell r="D1563" t="str">
            <v xml:space="preserve">Rouleau Maroufleur 40mm marque Leister </v>
          </cell>
        </row>
        <row r="1564">
          <cell r="A1564" t="str">
            <v>MCBE0412</v>
          </cell>
          <cell r="B1564" t="str">
            <v>outillage couvreur</v>
          </cell>
          <cell r="C1564" t="str">
            <v>outillage PVC</v>
          </cell>
          <cell r="D1564" t="str">
            <v xml:space="preserve">Rouleau Maroufleur 40mm marque Leister </v>
          </cell>
        </row>
        <row r="1565">
          <cell r="A1565" t="str">
            <v>MCBE0413</v>
          </cell>
          <cell r="B1565" t="str">
            <v>outillage couvreur</v>
          </cell>
          <cell r="C1565" t="str">
            <v>outillage PVC</v>
          </cell>
          <cell r="D1565" t="str">
            <v xml:space="preserve">Rouleau Maroufleur 28mm marque Leister U </v>
          </cell>
        </row>
        <row r="1566">
          <cell r="A1566" t="str">
            <v>MCBE0413</v>
          </cell>
          <cell r="B1566" t="str">
            <v>outillage couvreur</v>
          </cell>
          <cell r="C1566" t="str">
            <v>outillage PVC</v>
          </cell>
          <cell r="D1566" t="str">
            <v xml:space="preserve">Rouleau Maroufleur 28mm marque Leister U </v>
          </cell>
        </row>
        <row r="1567">
          <cell r="A1567" t="str">
            <v>MCBE0413</v>
          </cell>
          <cell r="B1567" t="str">
            <v>outillage couvreur</v>
          </cell>
          <cell r="C1567" t="str">
            <v>outillage PVC</v>
          </cell>
          <cell r="D1567" t="str">
            <v xml:space="preserve">Rouleau Maroufleur 28mm marque Leister U </v>
          </cell>
        </row>
        <row r="1568">
          <cell r="A1568" t="str">
            <v>MCBE0413</v>
          </cell>
          <cell r="B1568" t="str">
            <v>outillage couvreur</v>
          </cell>
          <cell r="C1568" t="str">
            <v>outillage PVC</v>
          </cell>
          <cell r="D1568" t="str">
            <v xml:space="preserve">Rouleau Maroufleur 28mm marque Leister U </v>
          </cell>
        </row>
        <row r="1569">
          <cell r="A1569" t="str">
            <v>MCBE0413</v>
          </cell>
          <cell r="B1569" t="str">
            <v>outillage couvreur</v>
          </cell>
          <cell r="C1569" t="str">
            <v>outillage PVC</v>
          </cell>
          <cell r="D1569" t="str">
            <v xml:space="preserve">Rouleau Maroufleur 28mm marque Leister U </v>
          </cell>
        </row>
        <row r="1570">
          <cell r="A1570" t="str">
            <v>MCBE0414</v>
          </cell>
          <cell r="B1570" t="str">
            <v>outillage couvreur</v>
          </cell>
          <cell r="C1570" t="str">
            <v>outillage PVC</v>
          </cell>
          <cell r="D1570" t="str">
            <v xml:space="preserve">Rouleau Maroufleur 6mm marque Leister </v>
          </cell>
        </row>
        <row r="1571">
          <cell r="A1571" t="str">
            <v>MCBE0414</v>
          </cell>
          <cell r="B1571" t="str">
            <v>outillage couvreur</v>
          </cell>
          <cell r="C1571" t="str">
            <v>outillage PVC</v>
          </cell>
          <cell r="D1571" t="str">
            <v xml:space="preserve">Rouleau Maroufleur 6mm marque Leister </v>
          </cell>
        </row>
        <row r="1572">
          <cell r="A1572" t="str">
            <v>MCBE0414</v>
          </cell>
          <cell r="B1572" t="str">
            <v>outillage couvreur</v>
          </cell>
          <cell r="C1572" t="str">
            <v>outillage PVC</v>
          </cell>
          <cell r="D1572" t="str">
            <v xml:space="preserve">Rouleau Maroufleur 6mm marque Leister </v>
          </cell>
        </row>
        <row r="1573">
          <cell r="A1573" t="str">
            <v>MCBE0414</v>
          </cell>
          <cell r="B1573" t="str">
            <v>outillage couvreur</v>
          </cell>
          <cell r="C1573" t="str">
            <v>outillage PVC</v>
          </cell>
          <cell r="D1573" t="str">
            <v xml:space="preserve">Rouleau Maroufleur 6mm marque Leister </v>
          </cell>
        </row>
        <row r="1574">
          <cell r="A1574" t="str">
            <v>MCBE0414</v>
          </cell>
          <cell r="B1574" t="str">
            <v>outillage couvreur</v>
          </cell>
          <cell r="C1574" t="str">
            <v>outillage PVC</v>
          </cell>
          <cell r="D1574" t="str">
            <v xml:space="preserve">Rouleau Maroufleur 6mm marque Leister </v>
          </cell>
        </row>
        <row r="1575">
          <cell r="A1575" t="str">
            <v>MCBE0415</v>
          </cell>
          <cell r="B1575" t="str">
            <v>outillage couvreur</v>
          </cell>
          <cell r="C1575" t="str">
            <v>outillage PVC</v>
          </cell>
          <cell r="D1575" t="str">
            <v>Rouleau Maroufleur de Puissance marque Leister</v>
          </cell>
        </row>
        <row r="1576">
          <cell r="A1576" t="str">
            <v>MCBE0415</v>
          </cell>
          <cell r="B1576" t="str">
            <v>outillage couvreur</v>
          </cell>
          <cell r="C1576" t="str">
            <v>outillage PVC</v>
          </cell>
          <cell r="D1576" t="str">
            <v>Rouleau Maroufleur de Puissance marque Leister</v>
          </cell>
        </row>
        <row r="1577">
          <cell r="A1577" t="str">
            <v>MCBE0415</v>
          </cell>
          <cell r="B1577" t="str">
            <v>outillage couvreur</v>
          </cell>
          <cell r="C1577" t="str">
            <v>outillage PVC</v>
          </cell>
          <cell r="D1577" t="str">
            <v>Rouleau Maroufleur de Puissance marque Leister</v>
          </cell>
        </row>
        <row r="1578">
          <cell r="A1578" t="str">
            <v>MCBE0415</v>
          </cell>
          <cell r="B1578" t="str">
            <v>outillage couvreur</v>
          </cell>
          <cell r="C1578" t="str">
            <v>outillage PVC</v>
          </cell>
          <cell r="D1578" t="str">
            <v>Rouleau Maroufleur de Puissance marque Leister</v>
          </cell>
        </row>
        <row r="1579">
          <cell r="A1579" t="str">
            <v>MCBE0416</v>
          </cell>
          <cell r="B1579" t="str">
            <v>outillage couvreur</v>
          </cell>
          <cell r="C1579" t="str">
            <v>outillage PVC</v>
          </cell>
          <cell r="D1579" t="str">
            <v xml:space="preserve">Buse Plate 20mm U </v>
          </cell>
        </row>
        <row r="1580">
          <cell r="A1580" t="str">
            <v>MCBE0416</v>
          </cell>
          <cell r="B1580" t="str">
            <v>outillage couvreur</v>
          </cell>
          <cell r="C1580" t="str">
            <v>outillage PVC</v>
          </cell>
          <cell r="D1580" t="str">
            <v xml:space="preserve">Buse Plate 20mm U </v>
          </cell>
        </row>
        <row r="1581">
          <cell r="A1581" t="str">
            <v>MCBE0416</v>
          </cell>
          <cell r="B1581" t="str">
            <v>outillage couvreur</v>
          </cell>
          <cell r="C1581" t="str">
            <v>outillage PVC</v>
          </cell>
          <cell r="D1581" t="str">
            <v xml:space="preserve">Buse Plate 20mm U </v>
          </cell>
        </row>
        <row r="1582">
          <cell r="A1582" t="str">
            <v>MCBE0416</v>
          </cell>
          <cell r="B1582" t="str">
            <v>outillage couvreur</v>
          </cell>
          <cell r="C1582" t="str">
            <v>outillage PVC</v>
          </cell>
          <cell r="D1582" t="str">
            <v xml:space="preserve">Buse Plate 20mm U </v>
          </cell>
        </row>
        <row r="1583">
          <cell r="A1583" t="str">
            <v>MCBE0416</v>
          </cell>
          <cell r="B1583" t="str">
            <v>outillage couvreur</v>
          </cell>
          <cell r="C1583" t="str">
            <v>outillage PVC</v>
          </cell>
          <cell r="D1583" t="str">
            <v xml:space="preserve">Buse Plate 20mm U </v>
          </cell>
        </row>
        <row r="1584">
          <cell r="A1584" t="str">
            <v>MCBE0416</v>
          </cell>
          <cell r="B1584" t="str">
            <v>outillage couvreur</v>
          </cell>
          <cell r="C1584" t="str">
            <v>outillage PVC</v>
          </cell>
          <cell r="D1584" t="str">
            <v xml:space="preserve">Buse Plate 20mm U </v>
          </cell>
        </row>
        <row r="1585">
          <cell r="A1585" t="str">
            <v>MCBE0417</v>
          </cell>
          <cell r="B1585" t="str">
            <v>outillage couvreur</v>
          </cell>
          <cell r="C1585" t="str">
            <v>outillage PVC</v>
          </cell>
          <cell r="D1585" t="str">
            <v xml:space="preserve">Buse Plate 40mm </v>
          </cell>
        </row>
        <row r="1586">
          <cell r="A1586" t="str">
            <v>MCBE0417</v>
          </cell>
          <cell r="B1586" t="str">
            <v>outillage couvreur</v>
          </cell>
          <cell r="C1586" t="str">
            <v>outillage PVC</v>
          </cell>
          <cell r="D1586" t="str">
            <v xml:space="preserve">Buse Plate 40mm </v>
          </cell>
        </row>
        <row r="1587">
          <cell r="A1587" t="str">
            <v>MCBE0417</v>
          </cell>
          <cell r="B1587" t="str">
            <v>outillage couvreur</v>
          </cell>
          <cell r="C1587" t="str">
            <v>outillage PVC</v>
          </cell>
          <cell r="D1587" t="str">
            <v xml:space="preserve">Buse Plate 40mm </v>
          </cell>
        </row>
        <row r="1588">
          <cell r="A1588" t="str">
            <v>MCBE0417</v>
          </cell>
          <cell r="B1588" t="str">
            <v>outillage couvreur</v>
          </cell>
          <cell r="C1588" t="str">
            <v>outillage PVC</v>
          </cell>
          <cell r="D1588" t="str">
            <v xml:space="preserve">Buse Plate 40mm </v>
          </cell>
        </row>
        <row r="1589">
          <cell r="A1589" t="str">
            <v>MCBE0417</v>
          </cell>
          <cell r="B1589" t="str">
            <v>outillage couvreur</v>
          </cell>
          <cell r="C1589" t="str">
            <v>outillage PVC</v>
          </cell>
          <cell r="D1589" t="str">
            <v xml:space="preserve">Buse Plate 40mm </v>
          </cell>
        </row>
        <row r="1590">
          <cell r="A1590" t="str">
            <v>MCBE0417</v>
          </cell>
          <cell r="B1590" t="str">
            <v>outillage couvreur</v>
          </cell>
          <cell r="C1590" t="str">
            <v>outillage PVC</v>
          </cell>
          <cell r="D1590" t="str">
            <v xml:space="preserve">Buse Plate 40mm </v>
          </cell>
        </row>
        <row r="1591">
          <cell r="A1591" t="str">
            <v>MCBE0418</v>
          </cell>
          <cell r="B1591" t="str">
            <v>outillage couvreur</v>
          </cell>
          <cell r="C1591" t="str">
            <v>outillage PVC</v>
          </cell>
          <cell r="D1591" t="str">
            <v xml:space="preserve"> Buse Plate 20mm Coudée 60° </v>
          </cell>
        </row>
        <row r="1592">
          <cell r="A1592" t="str">
            <v>MCBE0418</v>
          </cell>
          <cell r="B1592" t="str">
            <v>outillage couvreur</v>
          </cell>
          <cell r="C1592" t="str">
            <v>outillage PVC</v>
          </cell>
          <cell r="D1592" t="str">
            <v xml:space="preserve">Buse Plate 20mm Coudée 60° </v>
          </cell>
        </row>
        <row r="1593">
          <cell r="A1593" t="str">
            <v>MCBE0418</v>
          </cell>
          <cell r="B1593" t="str">
            <v>outillage couvreur</v>
          </cell>
          <cell r="C1593" t="str">
            <v>outillage PVC</v>
          </cell>
          <cell r="D1593" t="str">
            <v xml:space="preserve"> Buse Plate 20mm Coudée 60° </v>
          </cell>
        </row>
        <row r="1594">
          <cell r="A1594" t="str">
            <v>MCBE0418</v>
          </cell>
          <cell r="B1594" t="str">
            <v>outillage couvreur</v>
          </cell>
          <cell r="C1594" t="str">
            <v>outillage PVC</v>
          </cell>
          <cell r="D1594" t="str">
            <v xml:space="preserve"> Buse Plate 20mm Coudée 60° </v>
          </cell>
        </row>
        <row r="1595">
          <cell r="A1595" t="str">
            <v>MCBE0418</v>
          </cell>
          <cell r="B1595" t="str">
            <v>outillage couvreur</v>
          </cell>
          <cell r="C1595" t="str">
            <v>outillage PVC</v>
          </cell>
          <cell r="D1595" t="str">
            <v xml:space="preserve"> Buse Plate 20mm Coudée 60° </v>
          </cell>
        </row>
        <row r="1596">
          <cell r="A1596" t="str">
            <v>MCBE0418</v>
          </cell>
          <cell r="B1596" t="str">
            <v>outillage couvreur</v>
          </cell>
          <cell r="C1596" t="str">
            <v>outillage PVC</v>
          </cell>
          <cell r="D1596" t="str">
            <v xml:space="preserve"> Buse Plate 20mm Coudée 60° </v>
          </cell>
        </row>
        <row r="1597">
          <cell r="A1597" t="str">
            <v>MCBE0419</v>
          </cell>
          <cell r="B1597" t="str">
            <v>outillage couvreur</v>
          </cell>
          <cell r="C1597" t="str">
            <v>outillage PVC</v>
          </cell>
          <cell r="D1597" t="str">
            <v xml:space="preserve">Ciseaux Couturière </v>
          </cell>
        </row>
        <row r="1598">
          <cell r="A1598" t="str">
            <v>MCBE0419</v>
          </cell>
          <cell r="B1598" t="str">
            <v>outillage couvreur</v>
          </cell>
          <cell r="C1598" t="str">
            <v>outillage PVC</v>
          </cell>
          <cell r="D1598" t="str">
            <v xml:space="preserve">Ciseaux Couturière </v>
          </cell>
        </row>
        <row r="1599">
          <cell r="A1599" t="str">
            <v>MCBE0419</v>
          </cell>
          <cell r="B1599" t="str">
            <v>outillage couvreur</v>
          </cell>
          <cell r="C1599" t="str">
            <v>outillage PVC</v>
          </cell>
          <cell r="D1599" t="str">
            <v xml:space="preserve">Ciseaux Couturière </v>
          </cell>
        </row>
        <row r="1600">
          <cell r="A1600" t="str">
            <v>MCBE0419</v>
          </cell>
          <cell r="B1600" t="str">
            <v>outillage couvreur</v>
          </cell>
          <cell r="C1600" t="str">
            <v>outillage PVC</v>
          </cell>
          <cell r="D1600" t="str">
            <v xml:space="preserve">Ciseaux Couturière </v>
          </cell>
        </row>
        <row r="1601">
          <cell r="A1601" t="str">
            <v>MCBE0420</v>
          </cell>
          <cell r="B1601" t="str">
            <v>outillage couvreur</v>
          </cell>
          <cell r="C1601" t="str">
            <v>outillage PVC</v>
          </cell>
          <cell r="D1601" t="str">
            <v xml:space="preserve">Ciseaux Courbé Inox. 225 mm </v>
          </cell>
        </row>
        <row r="1602">
          <cell r="A1602" t="str">
            <v>MCBE0420</v>
          </cell>
          <cell r="B1602" t="str">
            <v>outillage couvreur</v>
          </cell>
          <cell r="C1602" t="str">
            <v>outillage PVC</v>
          </cell>
          <cell r="D1602" t="str">
            <v xml:space="preserve">Ciseaux Courbé Inox. 225 mm </v>
          </cell>
        </row>
        <row r="1603">
          <cell r="A1603" t="str">
            <v>MCBE0420</v>
          </cell>
          <cell r="B1603" t="str">
            <v>outillage couvreur</v>
          </cell>
          <cell r="C1603" t="str">
            <v>outillage PVC</v>
          </cell>
          <cell r="D1603" t="str">
            <v xml:space="preserve">Ciseaux Courbé Inox. 225 mm </v>
          </cell>
        </row>
        <row r="1604">
          <cell r="A1604" t="str">
            <v>MCBE0420</v>
          </cell>
          <cell r="B1604" t="str">
            <v>outillage couvreur</v>
          </cell>
          <cell r="C1604" t="str">
            <v>outillage PVC</v>
          </cell>
          <cell r="D1604" t="str">
            <v xml:space="preserve">Ciseaux Courbé Inox. 225 mm </v>
          </cell>
        </row>
        <row r="1605">
          <cell r="A1605" t="str">
            <v>MCBE0421</v>
          </cell>
          <cell r="B1605" t="str">
            <v>outillage couvreur</v>
          </cell>
          <cell r="C1605" t="str">
            <v>outillage PVC</v>
          </cell>
          <cell r="D1605" t="str">
            <v xml:space="preserve">Ciseaux Qualité Sup. P/Memb PVC </v>
          </cell>
        </row>
        <row r="1606">
          <cell r="A1606" t="str">
            <v>MCBE0421</v>
          </cell>
          <cell r="B1606" t="str">
            <v>outillage couvreur</v>
          </cell>
          <cell r="C1606" t="str">
            <v>outillage PVC</v>
          </cell>
          <cell r="D1606" t="str">
            <v xml:space="preserve">Ciseaux Qualité Sup. P/Memb PVC </v>
          </cell>
        </row>
        <row r="1607">
          <cell r="A1607" t="str">
            <v>MCBE0421</v>
          </cell>
          <cell r="B1607" t="str">
            <v>outillage couvreur</v>
          </cell>
          <cell r="C1607" t="str">
            <v>outillage PVC</v>
          </cell>
          <cell r="D1607" t="str">
            <v xml:space="preserve">Ciseaux Qualité Sup. P/Memb PVC </v>
          </cell>
        </row>
        <row r="1608">
          <cell r="A1608" t="str">
            <v>MCBE0421</v>
          </cell>
          <cell r="B1608" t="str">
            <v>outillage couvreur</v>
          </cell>
          <cell r="C1608" t="str">
            <v>outillage PVC</v>
          </cell>
          <cell r="D1608" t="str">
            <v xml:space="preserve">Ciseaux Qualité Sup. P/Memb PVC </v>
          </cell>
        </row>
        <row r="1609">
          <cell r="A1609" t="str">
            <v>MCBE0421</v>
          </cell>
          <cell r="B1609" t="str">
            <v>outillage couvreur</v>
          </cell>
          <cell r="C1609" t="str">
            <v>outillage PVC</v>
          </cell>
          <cell r="D1609" t="str">
            <v xml:space="preserve">Ciseaux Qualité Sup. P/Memb PVC </v>
          </cell>
        </row>
        <row r="1610">
          <cell r="A1610" t="str">
            <v>MCBE0421</v>
          </cell>
          <cell r="B1610" t="str">
            <v>outillage couvreur</v>
          </cell>
          <cell r="C1610" t="str">
            <v>outillage PVC</v>
          </cell>
          <cell r="D1610" t="str">
            <v xml:space="preserve">Ciseaux Qualité Sup. P/Memb PVC </v>
          </cell>
        </row>
        <row r="1611">
          <cell r="A1611" t="str">
            <v>MCBE0422</v>
          </cell>
          <cell r="B1611" t="str">
            <v>outillage couvreur</v>
          </cell>
          <cell r="C1611" t="str">
            <v>outillage PVC</v>
          </cell>
          <cell r="D1611" t="str">
            <v xml:space="preserve">Pointe de contrôle </v>
          </cell>
        </row>
        <row r="1612">
          <cell r="A1612" t="str">
            <v>MCBE0422</v>
          </cell>
          <cell r="B1612" t="str">
            <v>outillage couvreur</v>
          </cell>
          <cell r="C1612" t="str">
            <v>outillage PVC</v>
          </cell>
          <cell r="D1612" t="str">
            <v xml:space="preserve">Pointe de contrôle </v>
          </cell>
        </row>
        <row r="1613">
          <cell r="A1613" t="str">
            <v>MCBE0422</v>
          </cell>
          <cell r="B1613" t="str">
            <v>outillage couvreur</v>
          </cell>
          <cell r="C1613" t="str">
            <v>outillage PVC</v>
          </cell>
          <cell r="D1613" t="str">
            <v xml:space="preserve">Pointe de contrôle </v>
          </cell>
        </row>
        <row r="1614">
          <cell r="A1614" t="str">
            <v>MCBE0422</v>
          </cell>
          <cell r="B1614" t="str">
            <v>outillage couvreur</v>
          </cell>
          <cell r="C1614" t="str">
            <v>outillage PVC</v>
          </cell>
          <cell r="D1614" t="str">
            <v xml:space="preserve">Pointe de contrôle </v>
          </cell>
        </row>
        <row r="1615">
          <cell r="A1615" t="str">
            <v>MCBE0422</v>
          </cell>
          <cell r="B1615" t="str">
            <v>outillage couvreur</v>
          </cell>
          <cell r="C1615" t="str">
            <v>outillage PVC</v>
          </cell>
          <cell r="D1615" t="str">
            <v xml:space="preserve">Pointe de contrôle </v>
          </cell>
        </row>
        <row r="1616">
          <cell r="A1616" t="str">
            <v>MCBE0422</v>
          </cell>
          <cell r="B1616" t="str">
            <v>outillage couvreur</v>
          </cell>
          <cell r="C1616" t="str">
            <v>outillage PVC</v>
          </cell>
          <cell r="D1616" t="str">
            <v xml:space="preserve">Pointe de contrôle </v>
          </cell>
        </row>
        <row r="1617">
          <cell r="A1617" t="str">
            <v>MCBE0423</v>
          </cell>
          <cell r="B1617" t="str">
            <v>outillage couvreur</v>
          </cell>
          <cell r="C1617" t="str">
            <v>outillage PVC</v>
          </cell>
          <cell r="D1617" t="str">
            <v>Brosse à Fils Laitonnes 100mm</v>
          </cell>
        </row>
        <row r="1618">
          <cell r="A1618" t="str">
            <v>MCBE0423</v>
          </cell>
          <cell r="B1618" t="str">
            <v>outillage couvreur</v>
          </cell>
          <cell r="C1618" t="str">
            <v>outillage PVC</v>
          </cell>
          <cell r="D1618" t="str">
            <v>Brosse à Fils Laitonnes 100mm</v>
          </cell>
        </row>
        <row r="1619">
          <cell r="A1619" t="str">
            <v>MCBE0423</v>
          </cell>
          <cell r="B1619" t="str">
            <v>outillage couvreur</v>
          </cell>
          <cell r="C1619" t="str">
            <v>outillage PVC</v>
          </cell>
          <cell r="D1619" t="str">
            <v>Brosse à Fils Laitonnes 100mm</v>
          </cell>
        </row>
        <row r="1620">
          <cell r="A1620" t="str">
            <v>MCBE0423</v>
          </cell>
          <cell r="B1620" t="str">
            <v>outillage couvreur</v>
          </cell>
          <cell r="C1620" t="str">
            <v>outillage PVC</v>
          </cell>
          <cell r="D1620" t="str">
            <v>Brosse à Fils Laitonnes 100mm</v>
          </cell>
        </row>
        <row r="1621">
          <cell r="A1621" t="str">
            <v>MCBE0424</v>
          </cell>
          <cell r="B1621" t="str">
            <v>outillage couvreur</v>
          </cell>
          <cell r="C1621" t="str">
            <v>outillage PVC</v>
          </cell>
          <cell r="D1621" t="str">
            <v xml:space="preserve">Brosse à Fils Laitonnes 34mm </v>
          </cell>
        </row>
        <row r="1622">
          <cell r="A1622" t="str">
            <v>MCBE0424</v>
          </cell>
          <cell r="B1622" t="str">
            <v>outillage couvreur</v>
          </cell>
          <cell r="C1622" t="str">
            <v>outillage PVC</v>
          </cell>
          <cell r="D1622" t="str">
            <v xml:space="preserve">Brosse à Fils Laitonnes 34mm </v>
          </cell>
        </row>
        <row r="1623">
          <cell r="A1623" t="str">
            <v>MCBE0424</v>
          </cell>
          <cell r="B1623" t="str">
            <v>outillage couvreur</v>
          </cell>
          <cell r="C1623" t="str">
            <v>outillage PVC</v>
          </cell>
          <cell r="D1623" t="str">
            <v xml:space="preserve">Brosse à Fils Laitonnes 34mm </v>
          </cell>
        </row>
        <row r="1624">
          <cell r="A1624" t="str">
            <v>MCBE0424</v>
          </cell>
          <cell r="B1624" t="str">
            <v>outillage couvreur</v>
          </cell>
          <cell r="C1624" t="str">
            <v>outillage PVC</v>
          </cell>
          <cell r="D1624" t="str">
            <v xml:space="preserve">Brosse à Fils Laitonnes 34mm </v>
          </cell>
        </row>
        <row r="1625">
          <cell r="A1625" t="str">
            <v>MCBE0424</v>
          </cell>
          <cell r="B1625" t="str">
            <v>outillage couvreur</v>
          </cell>
          <cell r="C1625" t="str">
            <v>outillage PVC</v>
          </cell>
          <cell r="D1625" t="str">
            <v xml:space="preserve">Brosse à Fils Laitonnes 34mm </v>
          </cell>
        </row>
        <row r="1626">
          <cell r="A1626" t="str">
            <v>MCBE0277</v>
          </cell>
          <cell r="B1626" t="str">
            <v>Passage de câbles et ventilation</v>
          </cell>
          <cell r="C1626" t="str">
            <v>boite à cable</v>
          </cell>
          <cell r="D1626" t="str">
            <v>Boite à calbe 125*125</v>
          </cell>
        </row>
        <row r="1627">
          <cell r="A1627" t="str">
            <v>MCBE0277</v>
          </cell>
          <cell r="B1627" t="str">
            <v>Passage de câbles et ventilation</v>
          </cell>
          <cell r="C1627" t="str">
            <v>boite à cable</v>
          </cell>
          <cell r="D1627" t="str">
            <v>Boite à calbe 125*125</v>
          </cell>
        </row>
        <row r="1628">
          <cell r="A1628" t="str">
            <v>MCBE0277</v>
          </cell>
          <cell r="B1628" t="str">
            <v>Passage de câbles et ventilation</v>
          </cell>
          <cell r="C1628" t="str">
            <v>boite à cable</v>
          </cell>
          <cell r="D1628" t="str">
            <v>Boite à calbe 125*125</v>
          </cell>
        </row>
        <row r="1629">
          <cell r="A1629" t="str">
            <v>MCBE0277</v>
          </cell>
          <cell r="B1629" t="str">
            <v>Passage de câbles et ventilation</v>
          </cell>
          <cell r="C1629" t="str">
            <v>boite à cable</v>
          </cell>
          <cell r="D1629" t="str">
            <v>Boite à calbe 125*125</v>
          </cell>
        </row>
        <row r="1630">
          <cell r="A1630" t="str">
            <v>MCBE0278</v>
          </cell>
          <cell r="B1630" t="str">
            <v>Passage de câbles et ventilation</v>
          </cell>
          <cell r="C1630" t="str">
            <v>boite à cable</v>
          </cell>
          <cell r="D1630" t="str">
            <v>Boite à cable 150x150</v>
          </cell>
        </row>
        <row r="1631">
          <cell r="A1631" t="str">
            <v>MCBE0278</v>
          </cell>
          <cell r="B1631" t="str">
            <v>Passage de câbles et ventilation</v>
          </cell>
          <cell r="C1631" t="str">
            <v>boite à cable</v>
          </cell>
          <cell r="D1631" t="str">
            <v>Boite à cable 150x150</v>
          </cell>
        </row>
        <row r="1632">
          <cell r="A1632" t="str">
            <v>MCBE0278</v>
          </cell>
          <cell r="B1632" t="str">
            <v>Passage de câbles et ventilation</v>
          </cell>
          <cell r="C1632" t="str">
            <v>boite à cable</v>
          </cell>
          <cell r="D1632" t="str">
            <v>Boite à cable 150x150</v>
          </cell>
        </row>
        <row r="1633">
          <cell r="A1633" t="str">
            <v>MCBE0278</v>
          </cell>
          <cell r="B1633" t="str">
            <v>Passage de câbles et ventilation</v>
          </cell>
          <cell r="C1633" t="str">
            <v>boite à cable</v>
          </cell>
          <cell r="D1633" t="str">
            <v>Boite à cable 150x150</v>
          </cell>
        </row>
        <row r="1634">
          <cell r="A1634" t="str">
            <v>MCBE0279</v>
          </cell>
          <cell r="B1634" t="str">
            <v>Passage de câbles et ventilation</v>
          </cell>
          <cell r="C1634" t="str">
            <v>boite à cable</v>
          </cell>
          <cell r="D1634" t="str">
            <v>Boite a cable 200x200 + chapeau</v>
          </cell>
        </row>
        <row r="1635">
          <cell r="A1635" t="str">
            <v>MCBE0279</v>
          </cell>
          <cell r="B1635" t="str">
            <v>Passage de câbles et ventilation</v>
          </cell>
          <cell r="C1635" t="str">
            <v>boite à cable</v>
          </cell>
          <cell r="D1635" t="str">
            <v>Boite a cable 200x200 + chapeau</v>
          </cell>
        </row>
        <row r="1636">
          <cell r="A1636" t="str">
            <v>MCBE0279</v>
          </cell>
          <cell r="B1636" t="str">
            <v>Passage de câbles et ventilation</v>
          </cell>
          <cell r="C1636" t="str">
            <v>boite à cable</v>
          </cell>
          <cell r="D1636" t="str">
            <v>Boite a cable 200x200 + chapeau</v>
          </cell>
        </row>
        <row r="1637">
          <cell r="A1637" t="str">
            <v>MCBE0279</v>
          </cell>
          <cell r="B1637" t="str">
            <v>Passage de câbles et ventilation</v>
          </cell>
          <cell r="C1637" t="str">
            <v>boite à cable</v>
          </cell>
          <cell r="D1637" t="str">
            <v>Boite a cable 200x200 + chapeau</v>
          </cell>
        </row>
        <row r="1638">
          <cell r="A1638" t="str">
            <v>MCBE0279</v>
          </cell>
          <cell r="B1638" t="str">
            <v>Passage de câbles et ventilation</v>
          </cell>
          <cell r="C1638" t="str">
            <v>boite à cable</v>
          </cell>
          <cell r="D1638" t="str">
            <v>Boite a cable 200x200 + chapeau</v>
          </cell>
        </row>
        <row r="1639">
          <cell r="A1639" t="str">
            <v>MCBE0280</v>
          </cell>
          <cell r="B1639" t="str">
            <v>Passage de câbles et ventilation</v>
          </cell>
          <cell r="C1639" t="str">
            <v>boite à cable</v>
          </cell>
          <cell r="D1639" t="str">
            <v>Boite à cable 200x200x400</v>
          </cell>
        </row>
        <row r="1640">
          <cell r="A1640" t="str">
            <v>MCBE0280</v>
          </cell>
          <cell r="B1640" t="str">
            <v>Passage de câbles et ventilation</v>
          </cell>
          <cell r="C1640" t="str">
            <v>boite à cable</v>
          </cell>
          <cell r="D1640" t="str">
            <v>Boite à cable 200x200x400</v>
          </cell>
        </row>
        <row r="1641">
          <cell r="A1641" t="str">
            <v>MCBE0280</v>
          </cell>
          <cell r="B1641" t="str">
            <v>Passage de câbles et ventilation</v>
          </cell>
          <cell r="C1641" t="str">
            <v>boite à cable</v>
          </cell>
          <cell r="D1641" t="str">
            <v>Boite à cable 200x200x400</v>
          </cell>
        </row>
        <row r="1642">
          <cell r="A1642" t="str">
            <v>MCBE0280</v>
          </cell>
          <cell r="B1642" t="str">
            <v>Passage de câbles et ventilation</v>
          </cell>
          <cell r="C1642" t="str">
            <v>boite à cable</v>
          </cell>
          <cell r="D1642" t="str">
            <v>Boite à cable 200x200x400</v>
          </cell>
        </row>
        <row r="1643">
          <cell r="A1643" t="str">
            <v>MCBE0281</v>
          </cell>
          <cell r="B1643" t="str">
            <v>Passage de câbles et ventilation</v>
          </cell>
          <cell r="C1643" t="str">
            <v>boite à cable</v>
          </cell>
          <cell r="D1643" t="str">
            <v>Boite à câble avec chapeau 150*150</v>
          </cell>
        </row>
        <row r="1644">
          <cell r="A1644" t="str">
            <v>MCBE0281</v>
          </cell>
          <cell r="B1644" t="str">
            <v>Passage de câbles et ventilation</v>
          </cell>
          <cell r="C1644" t="str">
            <v>boite à cable</v>
          </cell>
          <cell r="D1644" t="str">
            <v>Boite à câble avec chapeau 150*150</v>
          </cell>
        </row>
        <row r="1645">
          <cell r="A1645" t="str">
            <v>MCBE0281</v>
          </cell>
          <cell r="B1645" t="str">
            <v>Passage de câbles et ventilation</v>
          </cell>
          <cell r="C1645" t="str">
            <v>boite à cable</v>
          </cell>
          <cell r="D1645" t="str">
            <v>Boite à câble avec chapeau 150*150</v>
          </cell>
        </row>
        <row r="1646">
          <cell r="A1646" t="str">
            <v>MCBE0281</v>
          </cell>
          <cell r="B1646" t="str">
            <v>Passage de câbles et ventilation</v>
          </cell>
          <cell r="C1646" t="str">
            <v>boite à cable</v>
          </cell>
          <cell r="D1646" t="str">
            <v>Boite à câble avec chapeau 150*150</v>
          </cell>
        </row>
        <row r="1647">
          <cell r="A1647" t="str">
            <v>MCBE0281</v>
          </cell>
          <cell r="B1647" t="str">
            <v>Passage de câbles et ventilation</v>
          </cell>
          <cell r="C1647" t="str">
            <v>boite à cable</v>
          </cell>
          <cell r="D1647" t="str">
            <v>Boite à câble avec chapeau 150*150</v>
          </cell>
        </row>
        <row r="1648">
          <cell r="A1648" t="str">
            <v>MCBE0282</v>
          </cell>
          <cell r="B1648" t="str">
            <v>Passage de câbles et ventilation</v>
          </cell>
          <cell r="C1648" t="str">
            <v>boite à cable</v>
          </cell>
          <cell r="D1648" t="str">
            <v>Boite à cable galva 125*125</v>
          </cell>
        </row>
        <row r="1649">
          <cell r="A1649" t="str">
            <v>MCBE0282</v>
          </cell>
          <cell r="B1649" t="str">
            <v>Passage de câbles et ventilation</v>
          </cell>
          <cell r="C1649" t="str">
            <v>boite à cable</v>
          </cell>
          <cell r="D1649" t="str">
            <v>Boite à cable galva 125*125</v>
          </cell>
        </row>
        <row r="1650">
          <cell r="A1650" t="str">
            <v>MCBE0282</v>
          </cell>
          <cell r="B1650" t="str">
            <v>Passage de câbles et ventilation</v>
          </cell>
          <cell r="C1650" t="str">
            <v>boite à cable</v>
          </cell>
          <cell r="D1650" t="str">
            <v>Boite à cable galva 125*125</v>
          </cell>
        </row>
        <row r="1651">
          <cell r="A1651" t="str">
            <v>MCBE0282</v>
          </cell>
          <cell r="B1651" t="str">
            <v>Passage de câbles et ventilation</v>
          </cell>
          <cell r="C1651" t="str">
            <v>boite à cable</v>
          </cell>
          <cell r="D1651" t="str">
            <v>Boite à cable galva 125*125</v>
          </cell>
        </row>
        <row r="1652">
          <cell r="A1652" t="str">
            <v>MCBE0283</v>
          </cell>
          <cell r="B1652" t="str">
            <v>Passage de câbles et ventilation</v>
          </cell>
          <cell r="C1652" t="str">
            <v>Chapeau de ventilation PVC</v>
          </cell>
          <cell r="D1652" t="str">
            <v xml:space="preserve">Chapeau de ventilation simple ardoise Diamètre 100 </v>
          </cell>
        </row>
        <row r="1653">
          <cell r="A1653" t="str">
            <v>MCBE0283</v>
          </cell>
          <cell r="B1653" t="str">
            <v>Passage de câbles et ventilation</v>
          </cell>
          <cell r="C1653" t="str">
            <v>Chapeau de ventilation PVC</v>
          </cell>
          <cell r="D1653" t="str">
            <v xml:space="preserve">Chapeau de ventilation simple ardoise Diamètre 100 </v>
          </cell>
        </row>
        <row r="1654">
          <cell r="A1654" t="str">
            <v>MCBE0283</v>
          </cell>
          <cell r="B1654" t="str">
            <v>Passage de câbles et ventilation</v>
          </cell>
          <cell r="C1654" t="str">
            <v>Chapeau de ventilation PVC</v>
          </cell>
          <cell r="D1654" t="str">
            <v xml:space="preserve">Chapeau de ventilation simple ardoise Diamètre 100 </v>
          </cell>
        </row>
        <row r="1655">
          <cell r="A1655" t="str">
            <v>MCBE0283</v>
          </cell>
          <cell r="B1655" t="str">
            <v>Passage de câbles et ventilation</v>
          </cell>
          <cell r="C1655" t="str">
            <v>Chapeau de ventilation PVC</v>
          </cell>
          <cell r="D1655" t="str">
            <v xml:space="preserve">Chapeau de ventilation simple ardoise Diamètre 100 </v>
          </cell>
        </row>
        <row r="1656">
          <cell r="A1656" t="str">
            <v>MCBE0283</v>
          </cell>
          <cell r="B1656" t="str">
            <v>Passage de câbles et ventilation</v>
          </cell>
          <cell r="C1656" t="str">
            <v>Chapeau de ventilation PVC</v>
          </cell>
          <cell r="D1656" t="str">
            <v xml:space="preserve">Chapeau de ventilation simple ardoise Diamètre 100 </v>
          </cell>
        </row>
        <row r="1657">
          <cell r="A1657" t="str">
            <v>MCBE0283</v>
          </cell>
          <cell r="B1657" t="str">
            <v>Passage de câbles et ventilation</v>
          </cell>
          <cell r="C1657" t="str">
            <v>Chapeau de ventilation PVC</v>
          </cell>
          <cell r="D1657" t="str">
            <v xml:space="preserve">Chapeau de ventilation simple ardoise Diamètre 100 </v>
          </cell>
        </row>
        <row r="1658">
          <cell r="A1658" t="str">
            <v>MCBE0284</v>
          </cell>
          <cell r="B1658" t="str">
            <v>Passage de câbles et ventilation</v>
          </cell>
          <cell r="C1658" t="str">
            <v>Chapeau de ventilation PVC</v>
          </cell>
          <cell r="D1658" t="str">
            <v>Chapeau de ventilation simple ardoise Diamètre 125</v>
          </cell>
        </row>
        <row r="1659">
          <cell r="A1659" t="str">
            <v>MCBE0284</v>
          </cell>
          <cell r="B1659" t="str">
            <v>Passage de câbles et ventilation</v>
          </cell>
          <cell r="C1659" t="str">
            <v>Chapeau de ventilation PVC</v>
          </cell>
          <cell r="D1659" t="str">
            <v>Chapeau de ventilation simple ardoise Diamètre 125</v>
          </cell>
        </row>
        <row r="1660">
          <cell r="A1660" t="str">
            <v>MCBE0284</v>
          </cell>
          <cell r="B1660" t="str">
            <v>Passage de câbles et ventilation</v>
          </cell>
          <cell r="C1660" t="str">
            <v>Chapeau de ventilation PVC</v>
          </cell>
          <cell r="D1660" t="str">
            <v>Chapeau de ventilation simple ardoise Diamètre 125</v>
          </cell>
        </row>
        <row r="1661">
          <cell r="A1661" t="str">
            <v>MCBE0284</v>
          </cell>
          <cell r="B1661" t="str">
            <v>Passage de câbles et ventilation</v>
          </cell>
          <cell r="C1661" t="str">
            <v>Chapeau de ventilation PVC</v>
          </cell>
          <cell r="D1661" t="str">
            <v>Chapeau de ventilation simple ardoise Diamètre 125</v>
          </cell>
        </row>
        <row r="1662">
          <cell r="A1662" t="str">
            <v>MCBE0284</v>
          </cell>
          <cell r="B1662" t="str">
            <v>Passage de câbles et ventilation</v>
          </cell>
          <cell r="C1662" t="str">
            <v>Chapeau de ventilation PVC</v>
          </cell>
          <cell r="D1662" t="str">
            <v>Chapeau de ventilation simple ardoise Diamètre 125</v>
          </cell>
        </row>
        <row r="1663">
          <cell r="A1663" t="str">
            <v>MCBE0284</v>
          </cell>
          <cell r="B1663" t="str">
            <v>Passage de câbles et ventilation</v>
          </cell>
          <cell r="C1663" t="str">
            <v>Chapeau de ventilation PVC</v>
          </cell>
          <cell r="D1663" t="str">
            <v>Chapeau de ventilation simple ardoise Diamètre 125</v>
          </cell>
        </row>
        <row r="1664">
          <cell r="A1664" t="str">
            <v>MCBE0285</v>
          </cell>
          <cell r="B1664" t="str">
            <v>Passage de câbles et ventilation</v>
          </cell>
          <cell r="C1664" t="str">
            <v>Chapeau de ventilation PVC</v>
          </cell>
          <cell r="D1664" t="str">
            <v>Chapeau de ventilation simple ardoise Diamètre 140</v>
          </cell>
        </row>
        <row r="1665">
          <cell r="A1665" t="str">
            <v>MCBE0285</v>
          </cell>
          <cell r="B1665" t="str">
            <v>Passage de câbles et ventilation</v>
          </cell>
          <cell r="C1665" t="str">
            <v>Chapeau de ventilation PVC</v>
          </cell>
          <cell r="D1665" t="str">
            <v>Chapeau de ventilation simple ardoise Diamètre 140</v>
          </cell>
        </row>
        <row r="1666">
          <cell r="A1666" t="str">
            <v>MCBE0285</v>
          </cell>
          <cell r="B1666" t="str">
            <v>Passage de câbles et ventilation</v>
          </cell>
          <cell r="C1666" t="str">
            <v>Chapeau de ventilation PVC</v>
          </cell>
          <cell r="D1666" t="str">
            <v>Chapeau de ventilation simple ardoise Diamètre 140</v>
          </cell>
        </row>
        <row r="1667">
          <cell r="A1667" t="str">
            <v>MCBE0285</v>
          </cell>
          <cell r="B1667" t="str">
            <v>Passage de câbles et ventilation</v>
          </cell>
          <cell r="C1667" t="str">
            <v>Chapeau de ventilation PVC</v>
          </cell>
          <cell r="D1667" t="str">
            <v>Chapeau de ventilation simple ardoise Diamètre 140</v>
          </cell>
        </row>
        <row r="1668">
          <cell r="A1668" t="str">
            <v>MCBE0285</v>
          </cell>
          <cell r="B1668" t="str">
            <v>Passage de câbles et ventilation</v>
          </cell>
          <cell r="C1668" t="str">
            <v>Chapeau de ventilation PVC</v>
          </cell>
          <cell r="D1668" t="str">
            <v>Chapeau de ventilation simple ardoise Diamètre 140</v>
          </cell>
        </row>
        <row r="1669">
          <cell r="A1669" t="str">
            <v>MCBE0285</v>
          </cell>
          <cell r="B1669" t="str">
            <v>Passage de câbles et ventilation</v>
          </cell>
          <cell r="C1669" t="str">
            <v>Chapeau de ventilation PVC</v>
          </cell>
          <cell r="D1669" t="str">
            <v>Chapeau de ventilation simple ardoise Diamètre 140</v>
          </cell>
        </row>
        <row r="1670">
          <cell r="A1670" t="str">
            <v>MCBE0286</v>
          </cell>
          <cell r="B1670" t="str">
            <v>Passage de câbles et ventilation</v>
          </cell>
          <cell r="C1670" t="str">
            <v>Chapeau de ventilation PVC</v>
          </cell>
          <cell r="D1670" t="str">
            <v>Chapeau de ventilation simple ardoise Diamètre 160</v>
          </cell>
        </row>
        <row r="1671">
          <cell r="A1671" t="str">
            <v>MCBE0286</v>
          </cell>
          <cell r="B1671" t="str">
            <v>Passage de câbles et ventilation</v>
          </cell>
          <cell r="C1671" t="str">
            <v>Chapeau de ventilation PVC</v>
          </cell>
          <cell r="D1671" t="str">
            <v>Chapeau de ventilation simple ardoise Diamètre 160</v>
          </cell>
        </row>
        <row r="1672">
          <cell r="A1672" t="str">
            <v>MCBE0286</v>
          </cell>
          <cell r="B1672" t="str">
            <v>Passage de câbles et ventilation</v>
          </cell>
          <cell r="C1672" t="str">
            <v>Chapeau de ventilation PVC</v>
          </cell>
          <cell r="D1672" t="str">
            <v>Chapeau de ventilation simple ardoise Diamètre 160</v>
          </cell>
        </row>
        <row r="1673">
          <cell r="A1673" t="str">
            <v>MCBE0286</v>
          </cell>
          <cell r="B1673" t="str">
            <v>Passage de câbles et ventilation</v>
          </cell>
          <cell r="C1673" t="str">
            <v>Chapeau de ventilation PVC</v>
          </cell>
          <cell r="D1673" t="str">
            <v>Chapeau de ventilation simple ardoise Diamètre 160</v>
          </cell>
        </row>
        <row r="1674">
          <cell r="A1674" t="str">
            <v>MCBE0286</v>
          </cell>
          <cell r="B1674" t="str">
            <v>Passage de câbles et ventilation</v>
          </cell>
          <cell r="C1674" t="str">
            <v>Chapeau de ventilation PVC</v>
          </cell>
          <cell r="D1674" t="str">
            <v>Chapeau de ventilation simple ardoise Diamètre 160</v>
          </cell>
        </row>
        <row r="1675">
          <cell r="A1675" t="str">
            <v>MCBE0286</v>
          </cell>
          <cell r="B1675" t="str">
            <v>Passage de câbles et ventilation</v>
          </cell>
          <cell r="C1675" t="str">
            <v>Chapeau de ventilation PVC</v>
          </cell>
          <cell r="D1675" t="str">
            <v>Chapeau de ventilation simple ardoise Diamètre 160</v>
          </cell>
        </row>
        <row r="1676">
          <cell r="A1676" t="str">
            <v>MCBE0287</v>
          </cell>
          <cell r="B1676" t="str">
            <v>Passage de câbles et ventilation</v>
          </cell>
          <cell r="C1676" t="str">
            <v>Chapeau de ventilation alu</v>
          </cell>
          <cell r="D1676" t="str">
            <v>Chapeau universel alu A1  80/125</v>
          </cell>
        </row>
        <row r="1677">
          <cell r="A1677" t="str">
            <v>MCBE0287</v>
          </cell>
          <cell r="B1677" t="str">
            <v>Passage de câbles et ventilation</v>
          </cell>
          <cell r="C1677" t="str">
            <v>Chapeau de ventilation alu</v>
          </cell>
          <cell r="D1677" t="str">
            <v>Chapeau universel alu A1  80/125</v>
          </cell>
        </row>
        <row r="1678">
          <cell r="A1678" t="str">
            <v>MCBE0287</v>
          </cell>
          <cell r="B1678" t="str">
            <v>Passage de câbles et ventilation</v>
          </cell>
          <cell r="C1678" t="str">
            <v>Chapeau de ventilation alu</v>
          </cell>
          <cell r="D1678" t="str">
            <v>Chapeau universel alu A1  80/125</v>
          </cell>
        </row>
        <row r="1679">
          <cell r="A1679" t="str">
            <v>MCBE0287</v>
          </cell>
          <cell r="B1679" t="str">
            <v>Passage de câbles et ventilation</v>
          </cell>
          <cell r="C1679" t="str">
            <v>Chapeau de ventilation alu</v>
          </cell>
          <cell r="D1679" t="str">
            <v>Chapeau universel alu A1  80/125</v>
          </cell>
        </row>
        <row r="1680">
          <cell r="A1680" t="str">
            <v>MCBE0287</v>
          </cell>
          <cell r="B1680" t="str">
            <v>Passage de câbles et ventilation</v>
          </cell>
          <cell r="C1680" t="str">
            <v>Chapeau de ventilation alu</v>
          </cell>
          <cell r="D1680" t="str">
            <v>Chapeau universel alu A1  80/125</v>
          </cell>
        </row>
        <row r="1681">
          <cell r="A1681" t="str">
            <v>MCBE0288</v>
          </cell>
          <cell r="B1681" t="str">
            <v>Passage de câbles et ventilation</v>
          </cell>
          <cell r="C1681" t="str">
            <v>Chapeau de ventilation alu</v>
          </cell>
          <cell r="D1681" t="str">
            <v>Chapeau universel alu  A2 130/168</v>
          </cell>
        </row>
        <row r="1682">
          <cell r="A1682" t="str">
            <v>MCBE0288</v>
          </cell>
          <cell r="B1682" t="str">
            <v>Passage de câbles et ventilation</v>
          </cell>
          <cell r="C1682" t="str">
            <v>Chapeau de ventilation alu</v>
          </cell>
          <cell r="D1682" t="str">
            <v>Chapeau universel alu  A2 130/168</v>
          </cell>
        </row>
        <row r="1683">
          <cell r="A1683" t="str">
            <v>MCBE0288</v>
          </cell>
          <cell r="B1683" t="str">
            <v>Passage de câbles et ventilation</v>
          </cell>
          <cell r="C1683" t="str">
            <v>Chapeau de ventilation alu</v>
          </cell>
          <cell r="D1683" t="str">
            <v>Chapeau universel alu  A2 130/168</v>
          </cell>
        </row>
        <row r="1684">
          <cell r="A1684" t="str">
            <v>MCBE0288</v>
          </cell>
          <cell r="B1684" t="str">
            <v>Passage de câbles et ventilation</v>
          </cell>
          <cell r="C1684" t="str">
            <v>Chapeau de ventilation alu</v>
          </cell>
          <cell r="D1684" t="str">
            <v>Chapeau universel alu  A2 130/168</v>
          </cell>
        </row>
        <row r="1685">
          <cell r="A1685" t="str">
            <v>MCBE0288</v>
          </cell>
          <cell r="B1685" t="str">
            <v>Passage de câbles et ventilation</v>
          </cell>
          <cell r="C1685" t="str">
            <v>Chapeau de ventilation alu</v>
          </cell>
          <cell r="D1685" t="str">
            <v>Chapeau universel alu  A2 130/168</v>
          </cell>
        </row>
        <row r="1686">
          <cell r="A1686" t="str">
            <v>MCBE0289</v>
          </cell>
          <cell r="B1686" t="str">
            <v>Passage de câbles et ventilation</v>
          </cell>
          <cell r="C1686" t="str">
            <v>Chapeau de ventilation alu</v>
          </cell>
          <cell r="D1686" t="str">
            <v>Chapeau universel alu A3 180/250</v>
          </cell>
        </row>
        <row r="1687">
          <cell r="A1687" t="str">
            <v>MCBE0289</v>
          </cell>
          <cell r="B1687" t="str">
            <v>Passage de câbles et ventilation</v>
          </cell>
          <cell r="C1687" t="str">
            <v>Chapeau de ventilation alu</v>
          </cell>
          <cell r="D1687" t="str">
            <v>Chapeau universel alu A3 180/250</v>
          </cell>
        </row>
        <row r="1688">
          <cell r="A1688" t="str">
            <v>MCBE0289</v>
          </cell>
          <cell r="B1688" t="str">
            <v>Passage de câbles et ventilation</v>
          </cell>
          <cell r="C1688" t="str">
            <v>Chapeau de ventilation alu</v>
          </cell>
          <cell r="D1688" t="str">
            <v>Chapeau universel alu A3 180/250</v>
          </cell>
        </row>
        <row r="1689">
          <cell r="A1689" t="str">
            <v>MCBE0289</v>
          </cell>
          <cell r="B1689" t="str">
            <v>Passage de câbles et ventilation</v>
          </cell>
          <cell r="C1689" t="str">
            <v>Chapeau de ventilation alu</v>
          </cell>
          <cell r="D1689" t="str">
            <v>Chapeau universel alu A3 180/250</v>
          </cell>
        </row>
        <row r="1690">
          <cell r="A1690" t="str">
            <v>MCBE0289</v>
          </cell>
          <cell r="B1690" t="str">
            <v>Passage de câbles et ventilation</v>
          </cell>
          <cell r="C1690" t="str">
            <v>Chapeau de ventilation alu</v>
          </cell>
          <cell r="D1690" t="str">
            <v>Chapeau universel alu A3 180/250</v>
          </cell>
        </row>
        <row r="1691">
          <cell r="A1691" t="str">
            <v>MCBE0290</v>
          </cell>
          <cell r="B1691" t="str">
            <v>Passage de câbles et ventilation</v>
          </cell>
          <cell r="C1691" t="str">
            <v>Chapeau de ventilation inox</v>
          </cell>
          <cell r="D1691" t="str">
            <v xml:space="preserve">Chapeau universel inox A 80/125 </v>
          </cell>
        </row>
        <row r="1692">
          <cell r="A1692" t="str">
            <v>MCBE0290</v>
          </cell>
          <cell r="B1692" t="str">
            <v>Passage de câbles et ventilation</v>
          </cell>
          <cell r="C1692" t="str">
            <v>Chapeau de ventilation inox</v>
          </cell>
          <cell r="D1692" t="str">
            <v xml:space="preserve">Chapeau universel inox A 80/125 </v>
          </cell>
        </row>
        <row r="1693">
          <cell r="A1693" t="str">
            <v>MCBE0290</v>
          </cell>
          <cell r="B1693" t="str">
            <v>Passage de câbles et ventilation</v>
          </cell>
          <cell r="C1693" t="str">
            <v>Chapeau de ventilation inox</v>
          </cell>
          <cell r="D1693" t="str">
            <v xml:space="preserve">Chapeau universel inox A 80/125 </v>
          </cell>
        </row>
        <row r="1694">
          <cell r="A1694" t="str">
            <v>MCBE0290</v>
          </cell>
          <cell r="B1694" t="str">
            <v>Passage de câbles et ventilation</v>
          </cell>
          <cell r="C1694" t="str">
            <v>Chapeau de ventilation inox</v>
          </cell>
          <cell r="D1694" t="str">
            <v xml:space="preserve">Chapeau universel inox A 80/125 </v>
          </cell>
        </row>
        <row r="1695">
          <cell r="A1695" t="str">
            <v>MCBE0291</v>
          </cell>
          <cell r="B1695" t="str">
            <v>Passage de câbles et ventilation</v>
          </cell>
          <cell r="C1695" t="str">
            <v>Chapeau de ventilation inox</v>
          </cell>
          <cell r="D1695" t="str">
            <v>Chapeau de ventilation PVC avec Collerette ardoise  Ø160</v>
          </cell>
        </row>
        <row r="1696">
          <cell r="A1696" t="str">
            <v>MCBE0291</v>
          </cell>
          <cell r="B1696" t="str">
            <v>Passage de câbles et ventilation</v>
          </cell>
          <cell r="C1696" t="str">
            <v>Chapeau de ventilation inox</v>
          </cell>
          <cell r="D1696" t="str">
            <v>Chapeau de ventilation PVC avec Collerette ardoise  Ø160</v>
          </cell>
        </row>
        <row r="1697">
          <cell r="A1697" t="str">
            <v>MCBE0291</v>
          </cell>
          <cell r="B1697" t="str">
            <v>Passage de câbles et ventilation</v>
          </cell>
          <cell r="C1697" t="str">
            <v>Chapeau de ventilation inox</v>
          </cell>
          <cell r="D1697" t="str">
            <v>Chapeau de ventilation PVC avec Collerette ardoise  Ø160</v>
          </cell>
        </row>
        <row r="1698">
          <cell r="A1698" t="str">
            <v>MCBE0291</v>
          </cell>
          <cell r="B1698" t="str">
            <v>Passage de câbles et ventilation</v>
          </cell>
          <cell r="C1698" t="str">
            <v>Chapeau de ventilation inox</v>
          </cell>
          <cell r="D1698" t="str">
            <v>Chapeau de ventilation PVC avec Collerette ardoise  Ø160</v>
          </cell>
        </row>
        <row r="1699">
          <cell r="A1699" t="str">
            <v>MCBE0291</v>
          </cell>
          <cell r="B1699" t="str">
            <v>Passage de câbles et ventilation</v>
          </cell>
          <cell r="C1699" t="str">
            <v>Chapeau de ventilation inox</v>
          </cell>
          <cell r="D1699" t="str">
            <v>Chapeau de ventilation PVC avec Collerette ardoise  Ø160</v>
          </cell>
        </row>
        <row r="1700">
          <cell r="A1700" t="str">
            <v>MCBE0292</v>
          </cell>
          <cell r="B1700" t="str">
            <v>Passage de câbles et ventilation</v>
          </cell>
          <cell r="C1700" t="str">
            <v>Chatière</v>
          </cell>
          <cell r="D1700" t="str">
            <v xml:space="preserve">Chatière intégra - zinc Anthracite 145 cm² </v>
          </cell>
        </row>
        <row r="1701">
          <cell r="A1701" t="str">
            <v>MCBE0292</v>
          </cell>
          <cell r="B1701" t="str">
            <v>Passage de câbles et ventilation</v>
          </cell>
          <cell r="C1701" t="str">
            <v>Chatière</v>
          </cell>
          <cell r="D1701" t="str">
            <v xml:space="preserve">Chatière intégra - zinc Anthracite 145 cm² </v>
          </cell>
        </row>
        <row r="1702">
          <cell r="A1702" t="str">
            <v>MCBE0292</v>
          </cell>
          <cell r="B1702" t="str">
            <v>Passage de câbles et ventilation</v>
          </cell>
          <cell r="C1702" t="str">
            <v>Chatière</v>
          </cell>
          <cell r="D1702" t="str">
            <v xml:space="preserve">Chatière intégra - zinc Anthracite 145 cm² </v>
          </cell>
        </row>
        <row r="1703">
          <cell r="A1703" t="str">
            <v>MCBE0292</v>
          </cell>
          <cell r="B1703" t="str">
            <v>Passage de câbles et ventilation</v>
          </cell>
          <cell r="C1703" t="str">
            <v>Chatière</v>
          </cell>
          <cell r="D1703" t="str">
            <v xml:space="preserve">Chatière intégra - zinc Anthracite 145 cm² </v>
          </cell>
        </row>
        <row r="1704">
          <cell r="A1704" t="str">
            <v>MCBE0292</v>
          </cell>
          <cell r="B1704" t="str">
            <v>Passage de câbles et ventilation</v>
          </cell>
          <cell r="C1704" t="str">
            <v>Chatière</v>
          </cell>
          <cell r="D1704" t="str">
            <v xml:space="preserve">Chatière intégra - zinc Anthracite 145 cm² </v>
          </cell>
        </row>
        <row r="1705">
          <cell r="A1705" t="str">
            <v>MCBE0292</v>
          </cell>
          <cell r="B1705" t="str">
            <v>Passage de câbles et ventilation</v>
          </cell>
          <cell r="C1705" t="str">
            <v>Chatière</v>
          </cell>
          <cell r="D1705" t="str">
            <v xml:space="preserve">Chatière intégra - zinc Anthracite 145 cm² </v>
          </cell>
        </row>
        <row r="1706">
          <cell r="A1706" t="str">
            <v>MCBE0293</v>
          </cell>
          <cell r="B1706" t="str">
            <v>Passage de câbles et ventilation</v>
          </cell>
          <cell r="C1706" t="str">
            <v>Chatière</v>
          </cell>
          <cell r="D1706" t="str">
            <v>Chatière intégra - zinc Anthracite 60  cm²</v>
          </cell>
        </row>
        <row r="1707">
          <cell r="A1707" t="str">
            <v>MCBE0293</v>
          </cell>
          <cell r="B1707" t="str">
            <v>Passage de câbles et ventilation</v>
          </cell>
          <cell r="C1707" t="str">
            <v>Chatière</v>
          </cell>
          <cell r="D1707" t="str">
            <v>Chatière intégra - zinc Anthracite 60  cm²</v>
          </cell>
        </row>
        <row r="1708">
          <cell r="A1708" t="str">
            <v>MCBE0293</v>
          </cell>
          <cell r="B1708" t="str">
            <v>Passage de câbles et ventilation</v>
          </cell>
          <cell r="C1708" t="str">
            <v>Chatière</v>
          </cell>
          <cell r="D1708" t="str">
            <v>Chatière intégra - zinc Anthracite 60  cm²</v>
          </cell>
        </row>
        <row r="1709">
          <cell r="A1709" t="str">
            <v>MCBE0293</v>
          </cell>
          <cell r="B1709" t="str">
            <v>Passage de câbles et ventilation</v>
          </cell>
          <cell r="C1709" t="str">
            <v>Chatière</v>
          </cell>
          <cell r="D1709" t="str">
            <v>Chatière intégra - zinc Anthracite 60  cm²</v>
          </cell>
        </row>
        <row r="1710">
          <cell r="A1710" t="str">
            <v>MCBE0293</v>
          </cell>
          <cell r="B1710" t="str">
            <v>Passage de câbles et ventilation</v>
          </cell>
          <cell r="C1710" t="str">
            <v>Chatière</v>
          </cell>
          <cell r="D1710" t="str">
            <v>Chatière intégra - zinc Anthracite 60  cm²</v>
          </cell>
        </row>
        <row r="1711">
          <cell r="A1711" t="str">
            <v>MCBE0294</v>
          </cell>
          <cell r="B1711" t="str">
            <v>Passage de câbles et ventilation</v>
          </cell>
          <cell r="C1711" t="str">
            <v>Closoir</v>
          </cell>
          <cell r="D1711" t="str">
            <v xml:space="preserve">Closoir faitage cadre rouge 5Mx295M </v>
          </cell>
        </row>
        <row r="1712">
          <cell r="A1712" t="str">
            <v>MCBE0294</v>
          </cell>
          <cell r="B1712" t="str">
            <v>Passage de câbles et ventilation</v>
          </cell>
          <cell r="C1712" t="str">
            <v>Closoir</v>
          </cell>
          <cell r="D1712" t="str">
            <v xml:space="preserve">Closoir faitage cadre rouge 5Mx295M </v>
          </cell>
        </row>
        <row r="1713">
          <cell r="A1713" t="str">
            <v>MCBE0294</v>
          </cell>
          <cell r="B1713" t="str">
            <v>Passage de câbles et ventilation</v>
          </cell>
          <cell r="C1713" t="str">
            <v>Closoir</v>
          </cell>
          <cell r="D1713" t="str">
            <v xml:space="preserve">Closoir faitage cadre rouge 5Mx295M </v>
          </cell>
        </row>
        <row r="1714">
          <cell r="A1714" t="str">
            <v>MCBE0294</v>
          </cell>
          <cell r="B1714" t="str">
            <v>Passage de câbles et ventilation</v>
          </cell>
          <cell r="C1714" t="str">
            <v>Closoir</v>
          </cell>
          <cell r="D1714" t="str">
            <v xml:space="preserve">Closoir faitage cadre rouge 5Mx295M </v>
          </cell>
        </row>
        <row r="1715">
          <cell r="A1715" t="str">
            <v>MCBE0295</v>
          </cell>
          <cell r="B1715" t="str">
            <v>Passage de câbles et ventilation</v>
          </cell>
          <cell r="C1715" t="str">
            <v>Crosse cuivre - plomb</v>
          </cell>
          <cell r="D1715" t="str">
            <v>Crosse cuivre/PB Diam 80 H 500 mm</v>
          </cell>
        </row>
        <row r="1716">
          <cell r="A1716" t="str">
            <v>MCBE0295</v>
          </cell>
          <cell r="B1716" t="str">
            <v>Passage de câbles et ventilation</v>
          </cell>
          <cell r="C1716" t="str">
            <v>Crosse cuivre - plomb</v>
          </cell>
          <cell r="D1716" t="str">
            <v>Crosse cuivre/PB Diam 80 H 500 mm</v>
          </cell>
        </row>
        <row r="1717">
          <cell r="A1717" t="str">
            <v>MCBE0295</v>
          </cell>
          <cell r="B1717" t="str">
            <v>Passage de câbles et ventilation</v>
          </cell>
          <cell r="C1717" t="str">
            <v>Crosse cuivre - plomb</v>
          </cell>
          <cell r="D1717" t="str">
            <v>Crosse cuivre/PB Diam 80 H 500 mm</v>
          </cell>
        </row>
        <row r="1718">
          <cell r="A1718" t="str">
            <v>MCBE0295</v>
          </cell>
          <cell r="B1718" t="str">
            <v>Passage de câbles et ventilation</v>
          </cell>
          <cell r="C1718" t="str">
            <v>Crosse cuivre - plomb</v>
          </cell>
          <cell r="D1718" t="str">
            <v>Crosse cuivre/PB Diam 80 H 500 mm</v>
          </cell>
        </row>
        <row r="1719">
          <cell r="A1719" t="str">
            <v>MCBE0295</v>
          </cell>
          <cell r="B1719" t="str">
            <v>Passage de câbles et ventilation</v>
          </cell>
          <cell r="C1719" t="str">
            <v>Crosse cuivre - plomb</v>
          </cell>
          <cell r="D1719" t="str">
            <v>Crosse cuivre/PB Diam 80 H 500 mm</v>
          </cell>
        </row>
        <row r="1720">
          <cell r="A1720" t="str">
            <v>MCBE0295</v>
          </cell>
          <cell r="B1720" t="str">
            <v>Passage de câbles et ventilation</v>
          </cell>
          <cell r="C1720" t="str">
            <v>Crosse cuivre - plomb</v>
          </cell>
          <cell r="D1720" t="str">
            <v>Crosse cuivre/PB Diam 80 H 500 mm</v>
          </cell>
        </row>
        <row r="1721">
          <cell r="A1721" t="str">
            <v>MCBE0296</v>
          </cell>
          <cell r="B1721" t="str">
            <v>Passage de câbles et ventilation</v>
          </cell>
          <cell r="C1721" t="str">
            <v>Crosse cuivre - plomb</v>
          </cell>
          <cell r="D1721" t="str">
            <v>Crosse cuivre/PB Diam 63 H 480 mm</v>
          </cell>
        </row>
        <row r="1722">
          <cell r="A1722" t="str">
            <v>MCBE0296</v>
          </cell>
          <cell r="B1722" t="str">
            <v>Passage de câbles et ventilation</v>
          </cell>
          <cell r="C1722" t="str">
            <v>Crosse cuivre - plomb</v>
          </cell>
          <cell r="D1722" t="str">
            <v>Crosse cuivre/PB Diam 63 H 480 mm</v>
          </cell>
        </row>
        <row r="1723">
          <cell r="A1723" t="str">
            <v>MCBE0296</v>
          </cell>
          <cell r="B1723" t="str">
            <v>Passage de câbles et ventilation</v>
          </cell>
          <cell r="C1723" t="str">
            <v>Crosse cuivre - plomb</v>
          </cell>
          <cell r="D1723" t="str">
            <v>Crosse cuivre/PB Diam 63 H 480 mm</v>
          </cell>
        </row>
        <row r="1724">
          <cell r="A1724" t="str">
            <v>MCBE0296</v>
          </cell>
          <cell r="B1724" t="str">
            <v>Passage de câbles et ventilation</v>
          </cell>
          <cell r="C1724" t="str">
            <v>Crosse cuivre - plomb</v>
          </cell>
          <cell r="D1724" t="str">
            <v>Crosse cuivre/PB Diam 63 H 480 mm</v>
          </cell>
        </row>
        <row r="1725">
          <cell r="A1725" t="str">
            <v>MCBE0296</v>
          </cell>
          <cell r="B1725" t="str">
            <v>Passage de câbles et ventilation</v>
          </cell>
          <cell r="C1725" t="str">
            <v>Crosse cuivre - plomb</v>
          </cell>
          <cell r="D1725" t="str">
            <v>Crosse cuivre/PB Diam 63 H 480 mm</v>
          </cell>
        </row>
        <row r="1726">
          <cell r="A1726" t="str">
            <v>MCBE0296</v>
          </cell>
          <cell r="B1726" t="str">
            <v>Passage de câbles et ventilation</v>
          </cell>
          <cell r="C1726" t="str">
            <v>Crosse cuivre - plomb</v>
          </cell>
          <cell r="D1726" t="str">
            <v>Crosse cuivre/PB Diam 63 H 480 mm</v>
          </cell>
        </row>
        <row r="1727">
          <cell r="A1727" t="str">
            <v>MCBE0297</v>
          </cell>
          <cell r="B1727" t="str">
            <v>Passage de câbles et ventilation</v>
          </cell>
          <cell r="C1727" t="str">
            <v>Crosse cuivre - plomb</v>
          </cell>
          <cell r="D1727" t="str">
            <v>Crosse cuivre/PB Diam 52 H 460 mm</v>
          </cell>
        </row>
        <row r="1728">
          <cell r="A1728" t="str">
            <v>MCBE0297</v>
          </cell>
          <cell r="B1728" t="str">
            <v>Passage de câbles et ventilation</v>
          </cell>
          <cell r="C1728" t="str">
            <v>Crosse cuivre - plomb</v>
          </cell>
          <cell r="D1728" t="str">
            <v>Crosse cuivre/PB Diam 52 H 460 mm</v>
          </cell>
        </row>
        <row r="1729">
          <cell r="A1729" t="str">
            <v>MCBE0297</v>
          </cell>
          <cell r="B1729" t="str">
            <v>Passage de câbles et ventilation</v>
          </cell>
          <cell r="C1729" t="str">
            <v>Crosse cuivre - plomb</v>
          </cell>
          <cell r="D1729" t="str">
            <v>Crosse cuivre/PB Diam 52 H 460 mm</v>
          </cell>
        </row>
        <row r="1730">
          <cell r="A1730" t="str">
            <v>MCBE0297</v>
          </cell>
          <cell r="B1730" t="str">
            <v>Passage de câbles et ventilation</v>
          </cell>
          <cell r="C1730" t="str">
            <v>Crosse cuivre - plomb</v>
          </cell>
          <cell r="D1730" t="str">
            <v>Crosse cuivre/PB Diam 52 H 460 mm</v>
          </cell>
        </row>
        <row r="1731">
          <cell r="A1731" t="str">
            <v>MCBE0297</v>
          </cell>
          <cell r="B1731" t="str">
            <v>Passage de câbles et ventilation</v>
          </cell>
          <cell r="C1731" t="str">
            <v>Crosse cuivre - plomb</v>
          </cell>
          <cell r="D1731" t="str">
            <v>Crosse cuivre/PB Diam 52 H 460 mm</v>
          </cell>
        </row>
        <row r="1732">
          <cell r="A1732" t="str">
            <v>MCBE0298</v>
          </cell>
          <cell r="B1732" t="str">
            <v>Passage de câbles et ventilation</v>
          </cell>
          <cell r="C1732" t="str">
            <v>Crosse cuivre - plomb</v>
          </cell>
          <cell r="D1732" t="str">
            <v>Crosse cuivre/PB Diam 42 H 380 mm</v>
          </cell>
        </row>
        <row r="1733">
          <cell r="A1733" t="str">
            <v>MCBE0298</v>
          </cell>
          <cell r="B1733" t="str">
            <v>Passage de câbles et ventilation</v>
          </cell>
          <cell r="C1733" t="str">
            <v>Crosse cuivre - plomb</v>
          </cell>
          <cell r="D1733" t="str">
            <v>Crosse cuivre/PB Diam 42 H 380 mm</v>
          </cell>
        </row>
        <row r="1734">
          <cell r="A1734" t="str">
            <v>MCBE0298</v>
          </cell>
          <cell r="B1734" t="str">
            <v>Passage de câbles et ventilation</v>
          </cell>
          <cell r="C1734" t="str">
            <v>Crosse cuivre - plomb</v>
          </cell>
          <cell r="D1734" t="str">
            <v>Crosse cuivre/PB Diam 42 H 380 mm</v>
          </cell>
        </row>
        <row r="1735">
          <cell r="A1735" t="str">
            <v>MCBE0298</v>
          </cell>
          <cell r="B1735" t="str">
            <v>Passage de câbles et ventilation</v>
          </cell>
          <cell r="C1735" t="str">
            <v>Crosse cuivre - plomb</v>
          </cell>
          <cell r="D1735" t="str">
            <v>Crosse cuivre/PB Diam 42 H 380 mm</v>
          </cell>
        </row>
        <row r="1736">
          <cell r="A1736" t="str">
            <v>MCBE0298</v>
          </cell>
          <cell r="B1736" t="str">
            <v>Passage de câbles et ventilation</v>
          </cell>
          <cell r="C1736" t="str">
            <v>Crosse cuivre - plomb</v>
          </cell>
          <cell r="D1736" t="str">
            <v>Crosse cuivre/PB Diam 42 H 380 mm</v>
          </cell>
        </row>
        <row r="1737">
          <cell r="A1737" t="str">
            <v>MCBE0298</v>
          </cell>
          <cell r="B1737" t="str">
            <v>Passage de câbles et ventilation</v>
          </cell>
          <cell r="C1737" t="str">
            <v>Crosse cuivre - plomb</v>
          </cell>
          <cell r="D1737" t="str">
            <v>Crosse cuivre/PB Diam 42 H 380 mm</v>
          </cell>
        </row>
        <row r="1738">
          <cell r="A1738" t="str">
            <v>MCBE0299</v>
          </cell>
          <cell r="B1738" t="str">
            <v>Passage de câbles et ventilation</v>
          </cell>
          <cell r="C1738" t="str">
            <v>Crosse cuivre - plomb</v>
          </cell>
          <cell r="D1738" t="str">
            <v>Crosse cuivre/PB Diam 100 H 590 mm</v>
          </cell>
        </row>
        <row r="1739">
          <cell r="A1739" t="str">
            <v>MCBE0299</v>
          </cell>
          <cell r="B1739" t="str">
            <v>Passage de câbles et ventilation</v>
          </cell>
          <cell r="C1739" t="str">
            <v>Crosse cuivre - plomb</v>
          </cell>
          <cell r="D1739" t="str">
            <v>Crosse cuivre/PB Diam 100 H 590 mm</v>
          </cell>
        </row>
        <row r="1740">
          <cell r="A1740" t="str">
            <v>MCBE0299</v>
          </cell>
          <cell r="B1740" t="str">
            <v>Passage de câbles et ventilation</v>
          </cell>
          <cell r="C1740" t="str">
            <v>Crosse cuivre - plomb</v>
          </cell>
          <cell r="D1740" t="str">
            <v>Crosse cuivre/PB Diam 100 H 590 mm</v>
          </cell>
        </row>
        <row r="1741">
          <cell r="A1741" t="str">
            <v>MCBE0299</v>
          </cell>
          <cell r="B1741" t="str">
            <v>Passage de câbles et ventilation</v>
          </cell>
          <cell r="C1741" t="str">
            <v>Crosse cuivre - plomb</v>
          </cell>
          <cell r="D1741" t="str">
            <v>Crosse cuivre/PB Diam 100 H 590 mm</v>
          </cell>
        </row>
        <row r="1742">
          <cell r="A1742" t="str">
            <v>MCBE0299</v>
          </cell>
          <cell r="B1742" t="str">
            <v>Passage de câbles et ventilation</v>
          </cell>
          <cell r="C1742" t="str">
            <v>Crosse cuivre - plomb</v>
          </cell>
          <cell r="D1742" t="str">
            <v>Crosse cuivre/PB Diam 100 H 590 mm</v>
          </cell>
        </row>
        <row r="1743">
          <cell r="A1743" t="str">
            <v>MCBE0299</v>
          </cell>
          <cell r="B1743" t="str">
            <v>Passage de câbles et ventilation</v>
          </cell>
          <cell r="C1743" t="str">
            <v>Crosse cuivre - plomb</v>
          </cell>
          <cell r="D1743" t="str">
            <v>Crosse cuivre/PB Diam 100 H 590 mm</v>
          </cell>
        </row>
        <row r="1744">
          <cell r="A1744" t="str">
            <v>MCBE0300</v>
          </cell>
          <cell r="B1744" t="str">
            <v>Passage de câbles et ventilation</v>
          </cell>
          <cell r="C1744" t="str">
            <v>Crosse alu</v>
          </cell>
          <cell r="D1744" t="str">
            <v>Crosse alu Diamètre 80</v>
          </cell>
        </row>
        <row r="1745">
          <cell r="A1745" t="str">
            <v>MCBE0300</v>
          </cell>
          <cell r="B1745" t="str">
            <v>Passage de câbles et ventilation</v>
          </cell>
          <cell r="C1745" t="str">
            <v>Crosse alu</v>
          </cell>
          <cell r="D1745" t="str">
            <v>Crosse alu Diamètre 80</v>
          </cell>
        </row>
        <row r="1746">
          <cell r="A1746" t="str">
            <v>MCBE0300</v>
          </cell>
          <cell r="B1746" t="str">
            <v>Passage de câbles et ventilation</v>
          </cell>
          <cell r="C1746" t="str">
            <v>Crosse alu</v>
          </cell>
          <cell r="D1746" t="str">
            <v>Crosse alu Diamètre 80</v>
          </cell>
        </row>
        <row r="1747">
          <cell r="A1747" t="str">
            <v>MCBE0300</v>
          </cell>
          <cell r="B1747" t="str">
            <v>Passage de câbles et ventilation</v>
          </cell>
          <cell r="C1747" t="str">
            <v>Crosse alu</v>
          </cell>
          <cell r="D1747" t="str">
            <v>Crosse alu Diamètre 80</v>
          </cell>
        </row>
        <row r="1748">
          <cell r="A1748" t="str">
            <v>MCBE0300</v>
          </cell>
          <cell r="B1748" t="str">
            <v>Passage de câbles et ventilation</v>
          </cell>
          <cell r="C1748" t="str">
            <v>Crosse alu</v>
          </cell>
          <cell r="D1748" t="str">
            <v>Crosse alu Diamètre 80</v>
          </cell>
        </row>
        <row r="1749">
          <cell r="A1749" t="str">
            <v>MCBE0300</v>
          </cell>
          <cell r="B1749" t="str">
            <v>Passage de câbles et ventilation</v>
          </cell>
          <cell r="C1749" t="str">
            <v>Crosse alu</v>
          </cell>
          <cell r="D1749" t="str">
            <v>Crosse alu Diamètre 80</v>
          </cell>
        </row>
        <row r="1750">
          <cell r="A1750" t="str">
            <v>MCBE0301</v>
          </cell>
          <cell r="B1750" t="str">
            <v>Passage de câbles et ventilation</v>
          </cell>
          <cell r="C1750" t="str">
            <v>Crosse alu</v>
          </cell>
          <cell r="D1750" t="str">
            <v>Crosse alu Diamètre 60</v>
          </cell>
        </row>
        <row r="1751">
          <cell r="A1751" t="str">
            <v>MCBE0301</v>
          </cell>
          <cell r="B1751" t="str">
            <v>Passage de câbles et ventilation</v>
          </cell>
          <cell r="C1751" t="str">
            <v>Crosse alu</v>
          </cell>
          <cell r="D1751" t="str">
            <v>Crosse alu Diamètre 60</v>
          </cell>
        </row>
        <row r="1752">
          <cell r="A1752" t="str">
            <v>MCBE0301</v>
          </cell>
          <cell r="B1752" t="str">
            <v>Passage de câbles et ventilation</v>
          </cell>
          <cell r="C1752" t="str">
            <v>Crosse alu</v>
          </cell>
          <cell r="D1752" t="str">
            <v>Crosse alu Diamètre 60</v>
          </cell>
        </row>
        <row r="1753">
          <cell r="A1753" t="str">
            <v>MCBE0301</v>
          </cell>
          <cell r="B1753" t="str">
            <v>Passage de câbles et ventilation</v>
          </cell>
          <cell r="C1753" t="str">
            <v>Crosse alu</v>
          </cell>
          <cell r="D1753" t="str">
            <v>Crosse alu Diamètre 60</v>
          </cell>
        </row>
        <row r="1754">
          <cell r="A1754" t="str">
            <v>MCBE0301</v>
          </cell>
          <cell r="B1754" t="str">
            <v>Passage de câbles et ventilation</v>
          </cell>
          <cell r="C1754" t="str">
            <v>Crosse alu</v>
          </cell>
          <cell r="D1754" t="str">
            <v>Crosse alu Diamètre 60</v>
          </cell>
        </row>
        <row r="1755">
          <cell r="A1755" t="str">
            <v>MCBE0301</v>
          </cell>
          <cell r="B1755" t="str">
            <v>Passage de câbles et ventilation</v>
          </cell>
          <cell r="C1755" t="str">
            <v>Crosse alu</v>
          </cell>
          <cell r="D1755" t="str">
            <v>Crosse alu Diamètre 60</v>
          </cell>
        </row>
        <row r="1756">
          <cell r="A1756" t="str">
            <v>MCBE0302</v>
          </cell>
          <cell r="B1756" t="str">
            <v>Passage de câbles et ventilation</v>
          </cell>
          <cell r="C1756" t="str">
            <v>Crosse alu</v>
          </cell>
          <cell r="D1756" t="str">
            <v>Crosse alu Diamètre 50</v>
          </cell>
        </row>
        <row r="1757">
          <cell r="A1757" t="str">
            <v>MCBE0302</v>
          </cell>
          <cell r="B1757" t="str">
            <v>Passage de câbles et ventilation</v>
          </cell>
          <cell r="C1757" t="str">
            <v>Crosse alu</v>
          </cell>
          <cell r="D1757" t="str">
            <v>Crosse alu Diamètre 50</v>
          </cell>
        </row>
        <row r="1758">
          <cell r="A1758" t="str">
            <v>MCBE0302</v>
          </cell>
          <cell r="B1758" t="str">
            <v>Passage de câbles et ventilation</v>
          </cell>
          <cell r="C1758" t="str">
            <v>Crosse alu</v>
          </cell>
          <cell r="D1758" t="str">
            <v>Crosse alu Diamètre 50</v>
          </cell>
        </row>
        <row r="1759">
          <cell r="A1759" t="str">
            <v>MCBE0302</v>
          </cell>
          <cell r="B1759" t="str">
            <v>Passage de câbles et ventilation</v>
          </cell>
          <cell r="C1759" t="str">
            <v>Crosse alu</v>
          </cell>
          <cell r="D1759" t="str">
            <v>Crosse alu Diamètre 50</v>
          </cell>
        </row>
        <row r="1760">
          <cell r="A1760" t="str">
            <v>MCBE0302</v>
          </cell>
          <cell r="B1760" t="str">
            <v>Passage de câbles et ventilation</v>
          </cell>
          <cell r="C1760" t="str">
            <v>Crosse alu</v>
          </cell>
          <cell r="D1760" t="str">
            <v>Crosse alu Diamètre 50</v>
          </cell>
        </row>
        <row r="1761">
          <cell r="A1761" t="str">
            <v>MCBE0302</v>
          </cell>
          <cell r="B1761" t="str">
            <v>Passage de câbles et ventilation</v>
          </cell>
          <cell r="C1761" t="str">
            <v>Crosse alu</v>
          </cell>
          <cell r="D1761" t="str">
            <v>Crosse alu Diamètre 50</v>
          </cell>
        </row>
        <row r="1762">
          <cell r="A1762" t="str">
            <v>MCBE0303</v>
          </cell>
          <cell r="B1762" t="str">
            <v>Passage de câbles et ventilation</v>
          </cell>
          <cell r="C1762" t="str">
            <v>Crosse alu</v>
          </cell>
          <cell r="D1762" t="str">
            <v>Crosse alu Diamètre 100</v>
          </cell>
        </row>
        <row r="1763">
          <cell r="A1763" t="str">
            <v>MCBE0303</v>
          </cell>
          <cell r="B1763" t="str">
            <v>Passage de câbles et ventilation</v>
          </cell>
          <cell r="C1763" t="str">
            <v>Crosse alu</v>
          </cell>
          <cell r="D1763" t="str">
            <v>Crosse alu Diamètre 100</v>
          </cell>
        </row>
        <row r="1764">
          <cell r="A1764" t="str">
            <v>MCBE0303</v>
          </cell>
          <cell r="B1764" t="str">
            <v>Passage de câbles et ventilation</v>
          </cell>
          <cell r="C1764" t="str">
            <v>Crosse alu</v>
          </cell>
          <cell r="D1764" t="str">
            <v>Crosse alu Diamètre 100</v>
          </cell>
        </row>
        <row r="1765">
          <cell r="A1765" t="str">
            <v>MCBE0303</v>
          </cell>
          <cell r="B1765" t="str">
            <v>Passage de câbles et ventilation</v>
          </cell>
          <cell r="C1765" t="str">
            <v>Crosse alu</v>
          </cell>
          <cell r="D1765" t="str">
            <v>Crosse alu Diamètre 100</v>
          </cell>
        </row>
        <row r="1766">
          <cell r="A1766" t="str">
            <v>MCBE0303</v>
          </cell>
          <cell r="B1766" t="str">
            <v>Passage de câbles et ventilation</v>
          </cell>
          <cell r="C1766" t="str">
            <v>Crosse alu</v>
          </cell>
          <cell r="D1766" t="str">
            <v>Crosse alu Diamètre 100</v>
          </cell>
        </row>
        <row r="1767">
          <cell r="A1767" t="str">
            <v>MCBE0303</v>
          </cell>
          <cell r="B1767" t="str">
            <v>Passage de câbles et ventilation</v>
          </cell>
          <cell r="C1767" t="str">
            <v>Crosse alu</v>
          </cell>
          <cell r="D1767" t="str">
            <v>Crosse alu Diamètre 100</v>
          </cell>
        </row>
        <row r="1768">
          <cell r="A1768" t="str">
            <v>MCBE0304</v>
          </cell>
          <cell r="B1768" t="str">
            <v>Passage de câbles et ventilation</v>
          </cell>
          <cell r="C1768" t="str">
            <v>Ventilation alu</v>
          </cell>
          <cell r="D1768" t="str">
            <v xml:space="preserve">Ventilation Alu D. Tube 75mm x 700mm (200/500) </v>
          </cell>
        </row>
        <row r="1769">
          <cell r="A1769" t="str">
            <v>MCBE0304</v>
          </cell>
          <cell r="B1769" t="str">
            <v>Passage de câbles et ventilation</v>
          </cell>
          <cell r="C1769" t="str">
            <v>Ventilation alu</v>
          </cell>
          <cell r="D1769" t="str">
            <v xml:space="preserve">Ventilation Alu D. Tube 75mm x 700mm (200/500) </v>
          </cell>
        </row>
        <row r="1770">
          <cell r="A1770" t="str">
            <v>MCBE0304</v>
          </cell>
          <cell r="B1770" t="str">
            <v>Passage de câbles et ventilation</v>
          </cell>
          <cell r="C1770" t="str">
            <v>Ventilation alu</v>
          </cell>
          <cell r="D1770" t="str">
            <v xml:space="preserve">Ventilation Alu D. Tube 75mm x 700mm (200/500) </v>
          </cell>
        </row>
        <row r="1771">
          <cell r="A1771" t="str">
            <v>MCBE0304</v>
          </cell>
          <cell r="B1771" t="str">
            <v>Passage de câbles et ventilation</v>
          </cell>
          <cell r="C1771" t="str">
            <v>Ventilation alu</v>
          </cell>
          <cell r="D1771" t="str">
            <v xml:space="preserve">Ventilation Alu D. Tube 75mm x 700mm (200/500) </v>
          </cell>
        </row>
        <row r="1772">
          <cell r="A1772" t="str">
            <v>MCBE0305</v>
          </cell>
          <cell r="B1772" t="str">
            <v>Passage de câbles et ventilation</v>
          </cell>
          <cell r="C1772" t="str">
            <v>Ventilation alu</v>
          </cell>
          <cell r="D1772" t="str">
            <v xml:space="preserve">Ventilation Alu D. Tube 95mm x 700mm (200/500) </v>
          </cell>
        </row>
        <row r="1773">
          <cell r="A1773" t="str">
            <v>MCBE0305</v>
          </cell>
          <cell r="B1773" t="str">
            <v>Passage de câbles et ventilation</v>
          </cell>
          <cell r="C1773" t="str">
            <v>Ventilation alu</v>
          </cell>
          <cell r="D1773" t="str">
            <v xml:space="preserve">Ventilation Alu D. Tube 95mm x 700mm (200/500) </v>
          </cell>
        </row>
        <row r="1774">
          <cell r="A1774" t="str">
            <v>MCBE0305</v>
          </cell>
          <cell r="B1774" t="str">
            <v>Passage de câbles et ventilation</v>
          </cell>
          <cell r="C1774" t="str">
            <v>Ventilation alu</v>
          </cell>
          <cell r="D1774" t="str">
            <v xml:space="preserve">Ventilation Alu D. Tube 95mm x 700mm (200/500) </v>
          </cell>
        </row>
        <row r="1775">
          <cell r="A1775" t="str">
            <v>MCBE0305</v>
          </cell>
          <cell r="B1775" t="str">
            <v>Passage de câbles et ventilation</v>
          </cell>
          <cell r="C1775" t="str">
            <v>Ventilation alu</v>
          </cell>
          <cell r="D1775" t="str">
            <v xml:space="preserve">Ventilation Alu D. Tube 95mm x 700mm (200/500) </v>
          </cell>
        </row>
        <row r="1776">
          <cell r="A1776" t="str">
            <v>MCBE0305</v>
          </cell>
          <cell r="B1776" t="str">
            <v>Passage de câbles et ventilation</v>
          </cell>
          <cell r="C1776" t="str">
            <v>Ventilation alu</v>
          </cell>
          <cell r="D1776" t="str">
            <v xml:space="preserve">Ventilation Alu D. Tube 95mm x 700mm (200/500) </v>
          </cell>
        </row>
        <row r="1777">
          <cell r="A1777" t="str">
            <v>MCBE0306</v>
          </cell>
          <cell r="B1777" t="str">
            <v>Passage de câbles et ventilation</v>
          </cell>
          <cell r="C1777" t="str">
            <v>Ventilation alu</v>
          </cell>
          <cell r="D1777" t="str">
            <v xml:space="preserve">Ventilation Alu D. Tube 110mm x 700mm (200/500) </v>
          </cell>
        </row>
        <row r="1778">
          <cell r="A1778" t="str">
            <v>MCBE0306</v>
          </cell>
          <cell r="B1778" t="str">
            <v>Passage de câbles et ventilation</v>
          </cell>
          <cell r="C1778" t="str">
            <v>Ventilation alu</v>
          </cell>
          <cell r="D1778" t="str">
            <v xml:space="preserve">Ventilation Alu D. Tube 110mm x 700mm (200/500) </v>
          </cell>
        </row>
        <row r="1779">
          <cell r="A1779" t="str">
            <v>MCBE0306</v>
          </cell>
          <cell r="B1779" t="str">
            <v>Passage de câbles et ventilation</v>
          </cell>
          <cell r="C1779" t="str">
            <v>Ventilation alu</v>
          </cell>
          <cell r="D1779" t="str">
            <v xml:space="preserve">Ventilation Alu D. Tube 110mm x 700mm (200/500) </v>
          </cell>
        </row>
        <row r="1780">
          <cell r="A1780" t="str">
            <v>MCBE0306</v>
          </cell>
          <cell r="B1780" t="str">
            <v>Passage de câbles et ventilation</v>
          </cell>
          <cell r="C1780" t="str">
            <v>Ventilation alu</v>
          </cell>
          <cell r="D1780" t="str">
            <v xml:space="preserve">Ventilation Alu D. Tube 110mm x 700mm (200/500) </v>
          </cell>
        </row>
        <row r="1781">
          <cell r="A1781" t="str">
            <v>MCBE0306</v>
          </cell>
          <cell r="B1781" t="str">
            <v>Passage de câbles et ventilation</v>
          </cell>
          <cell r="C1781" t="str">
            <v>Ventilation alu</v>
          </cell>
          <cell r="D1781" t="str">
            <v xml:space="preserve">Ventilation Alu D. Tube 110mm x 700mm (200/500) </v>
          </cell>
        </row>
        <row r="1782">
          <cell r="A1782" t="str">
            <v>MCBE0307</v>
          </cell>
          <cell r="B1782" t="str">
            <v>Passage de câbles et ventilation</v>
          </cell>
          <cell r="C1782" t="str">
            <v>Ventilation alu</v>
          </cell>
          <cell r="D1782" t="str">
            <v xml:space="preserve"> Ventilation Alu D. Tube 115mm x 700mm (200/500) </v>
          </cell>
        </row>
        <row r="1783">
          <cell r="A1783" t="str">
            <v>MCBE0307</v>
          </cell>
          <cell r="B1783" t="str">
            <v>Passage de câbles et ventilation</v>
          </cell>
          <cell r="C1783" t="str">
            <v>Ventilation alu</v>
          </cell>
          <cell r="D1783" t="str">
            <v xml:space="preserve"> Ventilation Alu D. Tube 115mm x 700mm (200/500) </v>
          </cell>
        </row>
        <row r="1784">
          <cell r="A1784" t="str">
            <v>MCBE0307</v>
          </cell>
          <cell r="B1784" t="str">
            <v>Passage de câbles et ventilation</v>
          </cell>
          <cell r="C1784" t="str">
            <v>Ventilation alu</v>
          </cell>
          <cell r="D1784" t="str">
            <v xml:space="preserve"> Ventilation Alu D. Tube 115mm x 700mm (200/500) </v>
          </cell>
        </row>
        <row r="1785">
          <cell r="A1785" t="str">
            <v>MCBE0307</v>
          </cell>
          <cell r="B1785" t="str">
            <v>Passage de câbles et ventilation</v>
          </cell>
          <cell r="C1785" t="str">
            <v>Ventilation alu</v>
          </cell>
          <cell r="D1785" t="str">
            <v xml:space="preserve"> Ventilation Alu D. Tube 115mm x 700mm (200/500) </v>
          </cell>
        </row>
        <row r="1786">
          <cell r="A1786" t="str">
            <v>MCBE0307</v>
          </cell>
          <cell r="B1786" t="str">
            <v>Passage de câbles et ventilation</v>
          </cell>
          <cell r="C1786" t="str">
            <v>Ventilation alu</v>
          </cell>
          <cell r="D1786" t="str">
            <v xml:space="preserve"> Ventilation Alu D. Tube 115mm x 700mm (200/500) </v>
          </cell>
        </row>
        <row r="1787">
          <cell r="A1787" t="str">
            <v>MCBE0307</v>
          </cell>
          <cell r="B1787" t="str">
            <v>Passage de câbles et ventilation</v>
          </cell>
          <cell r="C1787" t="str">
            <v>Ventilation alu</v>
          </cell>
          <cell r="D1787" t="str">
            <v xml:space="preserve"> Ventilation Alu D. Tube 115mm x 700mm (200/500) </v>
          </cell>
        </row>
        <row r="1788">
          <cell r="A1788" t="str">
            <v>MCBE0308</v>
          </cell>
          <cell r="B1788" t="str">
            <v>Passage de câbles et ventilation</v>
          </cell>
          <cell r="C1788" t="str">
            <v>Ventilation alu</v>
          </cell>
          <cell r="D1788" t="str">
            <v xml:space="preserve">Ventilation Alu D. Tube 125mm x 700mm (200/500) </v>
          </cell>
        </row>
        <row r="1789">
          <cell r="A1789" t="str">
            <v>MCBE0308</v>
          </cell>
          <cell r="B1789" t="str">
            <v>Passage de câbles et ventilation</v>
          </cell>
          <cell r="C1789" t="str">
            <v>Ventilation alu</v>
          </cell>
          <cell r="D1789" t="str">
            <v xml:space="preserve">Ventilation Alu D. Tube 125mm x 700mm (200/500) </v>
          </cell>
        </row>
        <row r="1790">
          <cell r="A1790" t="str">
            <v>MCBE0308</v>
          </cell>
          <cell r="B1790" t="str">
            <v>Passage de câbles et ventilation</v>
          </cell>
          <cell r="C1790" t="str">
            <v>Ventilation alu</v>
          </cell>
          <cell r="D1790" t="str">
            <v xml:space="preserve">Ventilation Alu D. Tube 125mm x 700mm (200/500) </v>
          </cell>
        </row>
        <row r="1791">
          <cell r="A1791" t="str">
            <v>MCBE0308</v>
          </cell>
          <cell r="B1791" t="str">
            <v>Passage de câbles et ventilation</v>
          </cell>
          <cell r="C1791" t="str">
            <v>Ventilation alu</v>
          </cell>
          <cell r="D1791" t="str">
            <v xml:space="preserve">Ventilation Alu D. Tube 125mm x 700mm (200/500) </v>
          </cell>
        </row>
        <row r="1792">
          <cell r="A1792" t="str">
            <v>MCBE0308</v>
          </cell>
          <cell r="B1792" t="str">
            <v>Passage de câbles et ventilation</v>
          </cell>
          <cell r="C1792" t="str">
            <v>Ventilation alu</v>
          </cell>
          <cell r="D1792" t="str">
            <v xml:space="preserve">Ventilation Alu D. Tube 125mm x 700mm (200/500) </v>
          </cell>
        </row>
        <row r="1793">
          <cell r="A1793" t="str">
            <v>MCBE0309</v>
          </cell>
          <cell r="B1793" t="str">
            <v>Passage de câbles et ventilation</v>
          </cell>
          <cell r="C1793" t="str">
            <v>Ventilation alu</v>
          </cell>
          <cell r="D1793" t="str">
            <v xml:space="preserve">Ventilation Alu D. Tube 130mm x 700mm (200/500) </v>
          </cell>
        </row>
        <row r="1794">
          <cell r="A1794" t="str">
            <v>MCBE0309</v>
          </cell>
          <cell r="B1794" t="str">
            <v>Passage de câbles et ventilation</v>
          </cell>
          <cell r="C1794" t="str">
            <v>Ventilation alu</v>
          </cell>
          <cell r="D1794" t="str">
            <v xml:space="preserve">Ventilation Alu D. Tube 130mm x 700mm (200/500) </v>
          </cell>
        </row>
        <row r="1795">
          <cell r="A1795" t="str">
            <v>MCBE0309</v>
          </cell>
          <cell r="B1795" t="str">
            <v>Passage de câbles et ventilation</v>
          </cell>
          <cell r="C1795" t="str">
            <v>Ventilation alu</v>
          </cell>
          <cell r="D1795" t="str">
            <v xml:space="preserve">Ventilation Alu D. Tube 130mm x 700mm (200/500) </v>
          </cell>
        </row>
        <row r="1796">
          <cell r="A1796" t="str">
            <v>MCBE0309</v>
          </cell>
          <cell r="B1796" t="str">
            <v>Passage de câbles et ventilation</v>
          </cell>
          <cell r="C1796" t="str">
            <v>Ventilation alu</v>
          </cell>
          <cell r="D1796" t="str">
            <v xml:space="preserve">Ventilation Alu D. Tube 130mm x 700mm (200/500) </v>
          </cell>
        </row>
        <row r="1797">
          <cell r="A1797" t="str">
            <v>MCBE0309</v>
          </cell>
          <cell r="B1797" t="str">
            <v>Passage de câbles et ventilation</v>
          </cell>
          <cell r="C1797" t="str">
            <v>Ventilation alu</v>
          </cell>
          <cell r="D1797" t="str">
            <v xml:space="preserve">Ventilation Alu D. Tube 130mm x 700mm (200/500) </v>
          </cell>
        </row>
        <row r="1798">
          <cell r="A1798" t="str">
            <v>MCBE0310</v>
          </cell>
          <cell r="B1798" t="str">
            <v>Passage de câbles et ventilation</v>
          </cell>
          <cell r="C1798" t="str">
            <v>Ventilation alu</v>
          </cell>
          <cell r="D1798" t="str">
            <v xml:space="preserve">Ventilation Alu D.Tube 140mm x 700mm (200/500) </v>
          </cell>
        </row>
        <row r="1799">
          <cell r="A1799" t="str">
            <v>MCBE0310</v>
          </cell>
          <cell r="B1799" t="str">
            <v>Passage de câbles et ventilation</v>
          </cell>
          <cell r="C1799" t="str">
            <v>Ventilation alu</v>
          </cell>
          <cell r="D1799" t="str">
            <v xml:space="preserve">Ventilation Alu D.Tube 140mm x 700mm (200/500) </v>
          </cell>
        </row>
        <row r="1800">
          <cell r="A1800" t="str">
            <v>MCBE0310</v>
          </cell>
          <cell r="B1800" t="str">
            <v>Passage de câbles et ventilation</v>
          </cell>
          <cell r="C1800" t="str">
            <v>Ventilation alu</v>
          </cell>
          <cell r="D1800" t="str">
            <v xml:space="preserve">Ventilation Alu D.Tube 140mm x 700mm (200/500) </v>
          </cell>
        </row>
        <row r="1801">
          <cell r="A1801" t="str">
            <v>MCBE0310</v>
          </cell>
          <cell r="B1801" t="str">
            <v>Passage de câbles et ventilation</v>
          </cell>
          <cell r="C1801" t="str">
            <v>Ventilation alu</v>
          </cell>
          <cell r="D1801" t="str">
            <v xml:space="preserve">Ventilation Alu D.Tube 140mm x 700mm (200/500) </v>
          </cell>
        </row>
        <row r="1802">
          <cell r="A1802" t="str">
            <v>MCBE0311</v>
          </cell>
          <cell r="B1802" t="str">
            <v>Passage de câbles et ventilation</v>
          </cell>
          <cell r="C1802" t="str">
            <v>Ventilation alu</v>
          </cell>
          <cell r="D1802" t="str">
            <v xml:space="preserve"> Ventilation Alu D. Tube 150mm x 700mm (200/500) </v>
          </cell>
        </row>
        <row r="1803">
          <cell r="A1803" t="str">
            <v>MCBE0311</v>
          </cell>
          <cell r="B1803" t="str">
            <v>Passage de câbles et ventilation</v>
          </cell>
          <cell r="C1803" t="str">
            <v>Ventilation alu</v>
          </cell>
          <cell r="D1803" t="str">
            <v xml:space="preserve"> Ventilation Alu D. Tube 150mm x 700mm (200/500) </v>
          </cell>
        </row>
        <row r="1804">
          <cell r="A1804" t="str">
            <v>MCBE0311</v>
          </cell>
          <cell r="B1804" t="str">
            <v>Passage de câbles et ventilation</v>
          </cell>
          <cell r="C1804" t="str">
            <v>Ventilation alu</v>
          </cell>
          <cell r="D1804" t="str">
            <v xml:space="preserve"> Ventilation Alu D. Tube 150mm x 700mm (200/500) </v>
          </cell>
        </row>
        <row r="1805">
          <cell r="A1805" t="str">
            <v>MCBE0311</v>
          </cell>
          <cell r="B1805" t="str">
            <v>Passage de câbles et ventilation</v>
          </cell>
          <cell r="C1805" t="str">
            <v>Ventilation alu</v>
          </cell>
          <cell r="D1805" t="str">
            <v xml:space="preserve"> Ventilation Alu D. Tube 150mm x 700mm (200/500) </v>
          </cell>
        </row>
        <row r="1806">
          <cell r="A1806" t="str">
            <v>MCBE0311</v>
          </cell>
          <cell r="B1806" t="str">
            <v>Passage de câbles et ventilation</v>
          </cell>
          <cell r="C1806" t="str">
            <v>Ventilation alu</v>
          </cell>
          <cell r="D1806" t="str">
            <v xml:space="preserve">Ventilation Alu D. Tube 150mm x 700mm (200/500) </v>
          </cell>
        </row>
        <row r="1807">
          <cell r="A1807" t="str">
            <v>MCBE0311</v>
          </cell>
          <cell r="B1807" t="str">
            <v>Passage de câbles et ventilation</v>
          </cell>
          <cell r="C1807" t="str">
            <v>Ventilation alu</v>
          </cell>
          <cell r="D1807" t="str">
            <v xml:space="preserve"> Ventilation Alu D. Tube 150mm x 700mm (200/500) </v>
          </cell>
        </row>
        <row r="1808">
          <cell r="A1808" t="str">
            <v>MCBE0312</v>
          </cell>
          <cell r="B1808" t="str">
            <v>Passage de câbles et ventilation</v>
          </cell>
          <cell r="C1808" t="str">
            <v>Ventilation alu</v>
          </cell>
          <cell r="D1808" t="str">
            <v>Ventilation Alu D. Tube 160mm x 700mm (200/500)</v>
          </cell>
        </row>
        <row r="1809">
          <cell r="A1809" t="str">
            <v>MCBE0312</v>
          </cell>
          <cell r="B1809" t="str">
            <v>Passage de câbles et ventilation</v>
          </cell>
          <cell r="C1809" t="str">
            <v>Ventilation alu</v>
          </cell>
          <cell r="D1809" t="str">
            <v>Ventilation Alu D. Tube 160mm x 700mm (200/500)</v>
          </cell>
        </row>
        <row r="1810">
          <cell r="A1810" t="str">
            <v>MCBE0312</v>
          </cell>
          <cell r="B1810" t="str">
            <v>Passage de câbles et ventilation</v>
          </cell>
          <cell r="C1810" t="str">
            <v>Ventilation alu</v>
          </cell>
          <cell r="D1810" t="str">
            <v>Ventilation Alu D. Tube 160mm x 700mm (200/500)</v>
          </cell>
        </row>
        <row r="1811">
          <cell r="A1811" t="str">
            <v>MCBE0312</v>
          </cell>
          <cell r="B1811" t="str">
            <v>Passage de câbles et ventilation</v>
          </cell>
          <cell r="C1811" t="str">
            <v>Ventilation alu</v>
          </cell>
          <cell r="D1811" t="str">
            <v>Ventilation Alu D. Tube 160mm x 700mm (200/500)</v>
          </cell>
        </row>
        <row r="1812">
          <cell r="A1812" t="str">
            <v>MCBE0312</v>
          </cell>
          <cell r="B1812" t="str">
            <v>Passage de câbles et ventilation</v>
          </cell>
          <cell r="C1812" t="str">
            <v>Ventilation alu</v>
          </cell>
          <cell r="D1812" t="str">
            <v>Ventilation Alu D. Tube 160mm x 700mm (200/500)</v>
          </cell>
        </row>
        <row r="1813">
          <cell r="A1813" t="str">
            <v>MCBE0313</v>
          </cell>
          <cell r="B1813" t="str">
            <v>Passage de câbles et ventilation</v>
          </cell>
          <cell r="C1813" t="str">
            <v>Ventilation alu</v>
          </cell>
          <cell r="D1813" t="str">
            <v xml:space="preserve">Ventilation Alu D.Tube 180mm x 700mm (200/500) </v>
          </cell>
        </row>
        <row r="1814">
          <cell r="A1814" t="str">
            <v>MCBE0313</v>
          </cell>
          <cell r="B1814" t="str">
            <v>Passage de câbles et ventilation</v>
          </cell>
          <cell r="C1814" t="str">
            <v>Ventilation alu</v>
          </cell>
          <cell r="D1814" t="str">
            <v xml:space="preserve">Ventilation Alu D.Tube 180mm x 700mm (200/500) </v>
          </cell>
        </row>
        <row r="1815">
          <cell r="A1815" t="str">
            <v>MCBE0313</v>
          </cell>
          <cell r="B1815" t="str">
            <v>Passage de câbles et ventilation</v>
          </cell>
          <cell r="C1815" t="str">
            <v>Ventilation alu</v>
          </cell>
          <cell r="D1815" t="str">
            <v xml:space="preserve">Ventilation Alu D.Tube 180mm x 700mm (200/500) </v>
          </cell>
        </row>
        <row r="1816">
          <cell r="A1816" t="str">
            <v>MCBE0313</v>
          </cell>
          <cell r="B1816" t="str">
            <v>Passage de câbles et ventilation</v>
          </cell>
          <cell r="C1816" t="str">
            <v>Ventilation alu</v>
          </cell>
          <cell r="D1816" t="str">
            <v xml:space="preserve">Ventilation Alu D.Tube 180mm x 700mm (200/500) </v>
          </cell>
        </row>
        <row r="1817">
          <cell r="A1817" t="str">
            <v>MCBE0313</v>
          </cell>
          <cell r="B1817" t="str">
            <v>Passage de câbles et ventilation</v>
          </cell>
          <cell r="C1817" t="str">
            <v>Ventilation alu</v>
          </cell>
          <cell r="D1817" t="str">
            <v xml:space="preserve">Ventilation Alu D.Tube 180mm x 700mm (200/500) </v>
          </cell>
        </row>
        <row r="1818">
          <cell r="A1818" t="str">
            <v>MCBE0314</v>
          </cell>
          <cell r="B1818" t="str">
            <v>Passage de câbles et ventilation</v>
          </cell>
          <cell r="C1818" t="str">
            <v>Ventilation alu</v>
          </cell>
          <cell r="D1818" t="str">
            <v>Ventilation Alu D. Tube 200mm x 700mm (200/500)</v>
          </cell>
        </row>
        <row r="1819">
          <cell r="A1819" t="str">
            <v>MCBE0314</v>
          </cell>
          <cell r="B1819" t="str">
            <v>Passage de câbles et ventilation</v>
          </cell>
          <cell r="C1819" t="str">
            <v>Ventilation alu</v>
          </cell>
          <cell r="D1819" t="str">
            <v>Ventilation Alu D. Tube 200mm x 700mm (200/500)</v>
          </cell>
        </row>
        <row r="1820">
          <cell r="A1820" t="str">
            <v>MCBE0314</v>
          </cell>
          <cell r="B1820" t="str">
            <v>Passage de câbles et ventilation</v>
          </cell>
          <cell r="C1820" t="str">
            <v>Ventilation alu</v>
          </cell>
          <cell r="D1820" t="str">
            <v>Ventilation Alu D. Tube 200mm x 700mm (200/500)</v>
          </cell>
        </row>
        <row r="1821">
          <cell r="A1821" t="str">
            <v>MCBE0314</v>
          </cell>
          <cell r="B1821" t="str">
            <v>Passage de câbles et ventilation</v>
          </cell>
          <cell r="C1821" t="str">
            <v>Ventilation alu</v>
          </cell>
          <cell r="D1821" t="str">
            <v>Ventilation Alu D. Tube 200mm x 700mm (200/500)</v>
          </cell>
        </row>
        <row r="1822">
          <cell r="A1822" t="str">
            <v>MCBE0314</v>
          </cell>
          <cell r="B1822" t="str">
            <v>Passage de câbles et ventilation</v>
          </cell>
          <cell r="C1822" t="str">
            <v>Ventilation alu</v>
          </cell>
          <cell r="D1822" t="str">
            <v>Ventilation Alu D. Tube 200mm x 700mm (200/500)</v>
          </cell>
        </row>
        <row r="1823">
          <cell r="A1823" t="str">
            <v>MCBE0314</v>
          </cell>
          <cell r="B1823" t="str">
            <v>Passage de câbles et ventilation</v>
          </cell>
          <cell r="C1823" t="str">
            <v>Ventilation alu</v>
          </cell>
          <cell r="D1823" t="str">
            <v>Ventilation Alu D. Tube 200mm x 700mm (200/500)</v>
          </cell>
        </row>
        <row r="1824">
          <cell r="A1824" t="str">
            <v>MCBE0315</v>
          </cell>
          <cell r="B1824" t="str">
            <v>Passage de câbles et ventilation</v>
          </cell>
          <cell r="C1824" t="str">
            <v>Ventilation alu</v>
          </cell>
          <cell r="D1824" t="str">
            <v>Ventilation Alu D. Tube 225mm x 700mm (200/500)</v>
          </cell>
        </row>
        <row r="1825">
          <cell r="A1825" t="str">
            <v>MCBE0315</v>
          </cell>
          <cell r="B1825" t="str">
            <v>Passage de câbles et ventilation</v>
          </cell>
          <cell r="C1825" t="str">
            <v>Ventilation alu</v>
          </cell>
          <cell r="D1825" t="str">
            <v>Ventilation Alu D. Tube 225mm x 700mm (200/500)</v>
          </cell>
        </row>
        <row r="1826">
          <cell r="A1826" t="str">
            <v>MCBE0315</v>
          </cell>
          <cell r="B1826" t="str">
            <v>Passage de câbles et ventilation</v>
          </cell>
          <cell r="C1826" t="str">
            <v>Ventilation alu</v>
          </cell>
          <cell r="D1826" t="str">
            <v>Ventilation Alu D. Tube 225mm x 700mm (200/500)</v>
          </cell>
        </row>
        <row r="1827">
          <cell r="A1827" t="str">
            <v>MCBE0315</v>
          </cell>
          <cell r="B1827" t="str">
            <v>Passage de câbles et ventilation</v>
          </cell>
          <cell r="C1827" t="str">
            <v>Ventilation alu</v>
          </cell>
          <cell r="D1827" t="str">
            <v>Ventilation Alu D. Tube 225mm x 700mm (200/500)</v>
          </cell>
        </row>
        <row r="1828">
          <cell r="A1828" t="str">
            <v>MCBE0316</v>
          </cell>
          <cell r="B1828" t="str">
            <v>Passage de câbles et ventilation</v>
          </cell>
          <cell r="C1828" t="str">
            <v>Ventilation alu</v>
          </cell>
          <cell r="D1828" t="str">
            <v xml:space="preserve">Ventilation Alu D. Tube 250mm x 700mm (200/500) </v>
          </cell>
        </row>
        <row r="1829">
          <cell r="A1829" t="str">
            <v>MCBE0316</v>
          </cell>
          <cell r="B1829" t="str">
            <v>Passage de câbles et ventilation</v>
          </cell>
          <cell r="C1829" t="str">
            <v>Ventilation alu</v>
          </cell>
          <cell r="D1829" t="str">
            <v xml:space="preserve">Ventilation Alu D. Tube 250mm x 700mm (200/500) </v>
          </cell>
        </row>
        <row r="1830">
          <cell r="A1830" t="str">
            <v>MCBE0316</v>
          </cell>
          <cell r="B1830" t="str">
            <v>Passage de câbles et ventilation</v>
          </cell>
          <cell r="C1830" t="str">
            <v>Ventilation alu</v>
          </cell>
          <cell r="D1830" t="str">
            <v xml:space="preserve">Ventilation Alu D. Tube 250mm x 700mm (200/500) </v>
          </cell>
        </row>
        <row r="1831">
          <cell r="A1831" t="str">
            <v>MCBE0316</v>
          </cell>
          <cell r="B1831" t="str">
            <v>Passage de câbles et ventilation</v>
          </cell>
          <cell r="C1831" t="str">
            <v>Ventilation alu</v>
          </cell>
          <cell r="D1831" t="str">
            <v xml:space="preserve">Ventilation Alu D. Tube 250mm x 700mm (200/500) </v>
          </cell>
        </row>
        <row r="1832">
          <cell r="A1832" t="str">
            <v>MCBE0316</v>
          </cell>
          <cell r="B1832" t="str">
            <v>Passage de câbles et ventilation</v>
          </cell>
          <cell r="C1832" t="str">
            <v>Ventilation alu</v>
          </cell>
          <cell r="D1832" t="str">
            <v xml:space="preserve">Ventilation Alu D. Tube 250mm x 700mm (200/500) </v>
          </cell>
        </row>
        <row r="1833">
          <cell r="A1833" t="str">
            <v>MCBE0317</v>
          </cell>
          <cell r="B1833" t="str">
            <v>Profilés aluminum</v>
          </cell>
          <cell r="C1833" t="str">
            <v>Protecteur Alu</v>
          </cell>
          <cell r="D1833" t="str">
            <v xml:space="preserve">Protecteur Alu Brut ML 3ml </v>
          </cell>
        </row>
        <row r="1834">
          <cell r="A1834" t="str">
            <v>MCBE0317</v>
          </cell>
          <cell r="B1834" t="str">
            <v>Profilés aluminum</v>
          </cell>
          <cell r="C1834" t="str">
            <v>Protecteur Alu</v>
          </cell>
          <cell r="D1834" t="str">
            <v xml:space="preserve">Protecteur Alu Brut ML 3ml </v>
          </cell>
        </row>
        <row r="1835">
          <cell r="A1835" t="str">
            <v>MCBE0317</v>
          </cell>
          <cell r="B1835" t="str">
            <v>Profilés aluminum</v>
          </cell>
          <cell r="C1835" t="str">
            <v>Protecteur Alu</v>
          </cell>
          <cell r="D1835" t="str">
            <v xml:space="preserve">Protecteur Alu Brut ML 3ml </v>
          </cell>
        </row>
        <row r="1836">
          <cell r="A1836" t="str">
            <v>MCBE0317</v>
          </cell>
          <cell r="B1836" t="str">
            <v>Profilés aluminum</v>
          </cell>
          <cell r="C1836" t="str">
            <v>Protecteur Alu</v>
          </cell>
          <cell r="D1836" t="str">
            <v xml:space="preserve">Protecteur Alu Brut ML 3ml </v>
          </cell>
        </row>
        <row r="1837">
          <cell r="A1837" t="str">
            <v>MCBE0317</v>
          </cell>
          <cell r="B1837" t="str">
            <v>Profilés aluminum</v>
          </cell>
          <cell r="C1837" t="str">
            <v>Protecteur Alu</v>
          </cell>
          <cell r="D1837" t="str">
            <v xml:space="preserve">Protecteur Alu Brut ML 3ml </v>
          </cell>
        </row>
        <row r="1838">
          <cell r="A1838" t="str">
            <v>MCBE0318</v>
          </cell>
          <cell r="B1838" t="str">
            <v>Profilés aluminum</v>
          </cell>
          <cell r="C1838" t="str">
            <v xml:space="preserve">Solinet 15/40 </v>
          </cell>
          <cell r="D1838" t="str">
            <v xml:space="preserve">Solinet 15/40 Alu Brut ML 3ml </v>
          </cell>
        </row>
        <row r="1839">
          <cell r="A1839" t="str">
            <v>MCBE0318</v>
          </cell>
          <cell r="B1839" t="str">
            <v>Profilés aluminum</v>
          </cell>
          <cell r="C1839" t="str">
            <v xml:space="preserve">Solinet 15/40 </v>
          </cell>
          <cell r="D1839" t="str">
            <v xml:space="preserve">Solinet 15/40 Alu Brut ML 3ml </v>
          </cell>
        </row>
        <row r="1840">
          <cell r="A1840" t="str">
            <v>MCBE0318</v>
          </cell>
          <cell r="B1840" t="str">
            <v>Profilés aluminum</v>
          </cell>
          <cell r="C1840" t="str">
            <v xml:space="preserve">Solinet 15/40 </v>
          </cell>
          <cell r="D1840" t="str">
            <v xml:space="preserve">Solinet 15/40 Alu Brut ML 3ml </v>
          </cell>
        </row>
        <row r="1841">
          <cell r="A1841" t="str">
            <v>MCBE0318</v>
          </cell>
          <cell r="B1841" t="str">
            <v>Profilés aluminum</v>
          </cell>
          <cell r="C1841" t="str">
            <v xml:space="preserve">Solinet 15/40 </v>
          </cell>
          <cell r="D1841" t="str">
            <v xml:space="preserve">Solinet 15/40 Alu Brut ML 3ml </v>
          </cell>
        </row>
        <row r="1842">
          <cell r="A1842" t="str">
            <v>MCBE0318</v>
          </cell>
          <cell r="B1842" t="str">
            <v>Profilés aluminum</v>
          </cell>
          <cell r="C1842" t="str">
            <v xml:space="preserve">Solinet 15/40 </v>
          </cell>
          <cell r="D1842" t="str">
            <v xml:space="preserve">Solinet 15/40 Alu Brut ML 3ml </v>
          </cell>
        </row>
        <row r="1843">
          <cell r="A1843" t="str">
            <v>MCBE0318</v>
          </cell>
          <cell r="B1843" t="str">
            <v>Profilés aluminum</v>
          </cell>
          <cell r="C1843" t="str">
            <v xml:space="preserve">Solinet 15/40 </v>
          </cell>
          <cell r="D1843" t="str">
            <v xml:space="preserve">Solinet 15/40 Alu Brut ML 3ml </v>
          </cell>
        </row>
        <row r="1844">
          <cell r="A1844" t="str">
            <v>MCBE0319</v>
          </cell>
          <cell r="B1844" t="str">
            <v>Profilés aluminum</v>
          </cell>
          <cell r="C1844" t="str">
            <v xml:space="preserve">Solinet 15/40 </v>
          </cell>
          <cell r="D1844" t="str">
            <v>Angle Rentrant Solinet 15/40</v>
          </cell>
        </row>
        <row r="1845">
          <cell r="A1845" t="str">
            <v>MCBE0319</v>
          </cell>
          <cell r="B1845" t="str">
            <v>Profilés aluminum</v>
          </cell>
          <cell r="C1845" t="str">
            <v xml:space="preserve">Solinet 15/40 </v>
          </cell>
          <cell r="D1845" t="str">
            <v>Angle Rentrant Solinet 15/40</v>
          </cell>
        </row>
        <row r="1846">
          <cell r="A1846" t="str">
            <v>MCBE0319</v>
          </cell>
          <cell r="B1846" t="str">
            <v>Profilés aluminum</v>
          </cell>
          <cell r="C1846" t="str">
            <v xml:space="preserve">Solinet 15/40 </v>
          </cell>
          <cell r="D1846" t="str">
            <v>Angle Rentrant Solinet 15/40</v>
          </cell>
        </row>
        <row r="1847">
          <cell r="A1847" t="str">
            <v>MCBE0319</v>
          </cell>
          <cell r="B1847" t="str">
            <v>Profilés aluminum</v>
          </cell>
          <cell r="C1847" t="str">
            <v xml:space="preserve">Solinet 15/40 </v>
          </cell>
          <cell r="D1847" t="str">
            <v>Angle Rentrant Solinet 15/40</v>
          </cell>
        </row>
        <row r="1848">
          <cell r="A1848" t="str">
            <v>MCBE0319</v>
          </cell>
          <cell r="B1848" t="str">
            <v>Profilés aluminum</v>
          </cell>
          <cell r="C1848" t="str">
            <v xml:space="preserve">Solinet 15/40 </v>
          </cell>
          <cell r="D1848" t="str">
            <v>Angle Rentrant Solinet 15/40</v>
          </cell>
        </row>
        <row r="1849">
          <cell r="A1849" t="str">
            <v>MCBE0319</v>
          </cell>
          <cell r="B1849" t="str">
            <v>Profilés aluminum</v>
          </cell>
          <cell r="C1849" t="str">
            <v xml:space="preserve">Solinet 15/40 </v>
          </cell>
          <cell r="D1849" t="str">
            <v>Angle Rentrant Solinet 15/40</v>
          </cell>
        </row>
        <row r="1850">
          <cell r="A1850" t="str">
            <v>MCBE0320</v>
          </cell>
          <cell r="B1850" t="str">
            <v>Profilés aluminum</v>
          </cell>
          <cell r="C1850" t="str">
            <v>Solinet 15/40</v>
          </cell>
          <cell r="D1850" t="str">
            <v xml:space="preserve">Angle Sortant Solinet Solinet 15/40 </v>
          </cell>
        </row>
        <row r="1851">
          <cell r="A1851" t="str">
            <v>MCBE0320</v>
          </cell>
          <cell r="B1851" t="str">
            <v>Profilés aluminum</v>
          </cell>
          <cell r="C1851" t="str">
            <v>Solinet 15/40</v>
          </cell>
          <cell r="D1851" t="str">
            <v xml:space="preserve">Angle Sortant Solinet Solinet 15/40 </v>
          </cell>
        </row>
        <row r="1852">
          <cell r="A1852" t="str">
            <v>MCBE0320</v>
          </cell>
          <cell r="B1852" t="str">
            <v>Profilés aluminum</v>
          </cell>
          <cell r="C1852" t="str">
            <v>Solinet 15/40</v>
          </cell>
          <cell r="D1852" t="str">
            <v xml:space="preserve">Angle Sortant Solinet Solinet 15/40 </v>
          </cell>
        </row>
        <row r="1853">
          <cell r="A1853" t="str">
            <v>MCBE0320</v>
          </cell>
          <cell r="B1853" t="str">
            <v>Profilés aluminum</v>
          </cell>
          <cell r="C1853" t="str">
            <v>Solinet 15/40</v>
          </cell>
          <cell r="D1853" t="str">
            <v xml:space="preserve">Angle Sortant Solinet Solinet 15/40 </v>
          </cell>
        </row>
        <row r="1854">
          <cell r="A1854" t="str">
            <v>MCBE0320</v>
          </cell>
          <cell r="B1854" t="str">
            <v>Profilés aluminum</v>
          </cell>
          <cell r="C1854" t="str">
            <v>Solinet 15/40</v>
          </cell>
          <cell r="D1854" t="str">
            <v xml:space="preserve">Angle Sortant Solinet Solinet 15/40 </v>
          </cell>
        </row>
        <row r="1855">
          <cell r="A1855" t="str">
            <v>MCBE0320</v>
          </cell>
          <cell r="B1855" t="str">
            <v>Profilés aluminum</v>
          </cell>
          <cell r="C1855" t="str">
            <v>Solinet 15/40</v>
          </cell>
          <cell r="D1855" t="str">
            <v xml:space="preserve">Angle Sortant Solinet Solinet 15/40 </v>
          </cell>
        </row>
        <row r="1856">
          <cell r="A1856" t="str">
            <v>MCBE0321</v>
          </cell>
          <cell r="B1856" t="str">
            <v>Profilés aluminum</v>
          </cell>
          <cell r="C1856" t="str">
            <v>Solinet 15/40</v>
          </cell>
          <cell r="D1856" t="str">
            <v xml:space="preserve">Jonction Solinet 15/40 </v>
          </cell>
        </row>
        <row r="1857">
          <cell r="A1857" t="str">
            <v>MCBE0321</v>
          </cell>
          <cell r="B1857" t="str">
            <v>Profilés aluminum</v>
          </cell>
          <cell r="C1857" t="str">
            <v>Solinet 15/40</v>
          </cell>
          <cell r="D1857" t="str">
            <v xml:space="preserve">Jonction Solinet 15/40 </v>
          </cell>
        </row>
        <row r="1858">
          <cell r="A1858" t="str">
            <v>MCBE0321</v>
          </cell>
          <cell r="B1858" t="str">
            <v>Profilés aluminum</v>
          </cell>
          <cell r="C1858" t="str">
            <v>Solinet 15/40</v>
          </cell>
          <cell r="D1858" t="str">
            <v xml:space="preserve">Jonction Solinet 15/40 </v>
          </cell>
        </row>
        <row r="1859">
          <cell r="A1859" t="str">
            <v>MCBE0321</v>
          </cell>
          <cell r="B1859" t="str">
            <v>Profilés aluminum</v>
          </cell>
          <cell r="C1859" t="str">
            <v>Solinet 15/40</v>
          </cell>
          <cell r="D1859" t="str">
            <v xml:space="preserve">Jonction Solinet 15/40 </v>
          </cell>
        </row>
        <row r="1860">
          <cell r="A1860" t="str">
            <v>MCBE0321</v>
          </cell>
          <cell r="B1860" t="str">
            <v>Profilés aluminum</v>
          </cell>
          <cell r="C1860" t="str">
            <v>Solinet 15/40</v>
          </cell>
          <cell r="D1860" t="str">
            <v xml:space="preserve">Jonction Solinet 15/40 </v>
          </cell>
        </row>
        <row r="1861">
          <cell r="A1861" t="str">
            <v>MCBE0321</v>
          </cell>
          <cell r="B1861" t="str">
            <v>Profilés aluminum</v>
          </cell>
          <cell r="C1861" t="str">
            <v>Solinet 15/40</v>
          </cell>
          <cell r="D1861" t="str">
            <v xml:space="preserve">Jonction Solinet 15/40 </v>
          </cell>
        </row>
        <row r="1862">
          <cell r="A1862" t="str">
            <v>MCBE0322</v>
          </cell>
          <cell r="B1862" t="str">
            <v>Profilés aluminum</v>
          </cell>
          <cell r="C1862" t="str">
            <v>Solinet porte dalle</v>
          </cell>
          <cell r="D1862" t="str">
            <v xml:space="preserve">Solinet Porte Dalle 15/40 Alu Brut ML </v>
          </cell>
        </row>
        <row r="1863">
          <cell r="A1863" t="str">
            <v>MCBE0322</v>
          </cell>
          <cell r="B1863" t="str">
            <v>Profilés aluminum</v>
          </cell>
          <cell r="C1863" t="str">
            <v>Solinet porte dalle</v>
          </cell>
          <cell r="D1863" t="str">
            <v xml:space="preserve">Solinet Porte Dalle 15/40 Alu Brut ML </v>
          </cell>
        </row>
        <row r="1864">
          <cell r="A1864" t="str">
            <v>MCBE0322</v>
          </cell>
          <cell r="B1864" t="str">
            <v>Profilés aluminum</v>
          </cell>
          <cell r="C1864" t="str">
            <v>Solinet porte dalle</v>
          </cell>
          <cell r="D1864" t="str">
            <v xml:space="preserve">Solinet Porte Dalle 15/40 Alu Brut ML </v>
          </cell>
        </row>
        <row r="1865">
          <cell r="A1865" t="str">
            <v>MCBE0322</v>
          </cell>
          <cell r="B1865" t="str">
            <v>Profilés aluminum</v>
          </cell>
          <cell r="C1865" t="str">
            <v>Solinet porte dalle</v>
          </cell>
          <cell r="D1865" t="str">
            <v xml:space="preserve">Solinet Porte Dalle 15/40 Alu Brut ML </v>
          </cell>
        </row>
        <row r="1866">
          <cell r="A1866" t="str">
            <v>MCBE0322</v>
          </cell>
          <cell r="B1866" t="str">
            <v>Profilés aluminum</v>
          </cell>
          <cell r="C1866" t="str">
            <v>Solinet porte dalle</v>
          </cell>
          <cell r="D1866" t="str">
            <v xml:space="preserve">Solinet Porte Dalle 15/40 Alu Brut ML </v>
          </cell>
        </row>
        <row r="1867">
          <cell r="A1867" t="str">
            <v>MCBE0323</v>
          </cell>
          <cell r="B1867" t="str">
            <v>Profilés aluminum</v>
          </cell>
          <cell r="C1867" t="str">
            <v>Solinet porte dalle</v>
          </cell>
          <cell r="D1867" t="str">
            <v xml:space="preserve">Angle Rentrant Solinet Porte Dalle 15/40 </v>
          </cell>
        </row>
        <row r="1868">
          <cell r="A1868" t="str">
            <v>MCBE0323</v>
          </cell>
          <cell r="B1868" t="str">
            <v>Profilés aluminum</v>
          </cell>
          <cell r="C1868" t="str">
            <v>Solinet porte dalle</v>
          </cell>
          <cell r="D1868" t="str">
            <v xml:space="preserve">Angle Rentrant Solinet Porte Dalle 15/40 </v>
          </cell>
        </row>
        <row r="1869">
          <cell r="A1869" t="str">
            <v>MCBE0323</v>
          </cell>
          <cell r="B1869" t="str">
            <v>Profilés aluminum</v>
          </cell>
          <cell r="C1869" t="str">
            <v>Solinet porte dalle</v>
          </cell>
          <cell r="D1869" t="str">
            <v xml:space="preserve">Angle Rentrant Solinet Porte Dalle 15/40 </v>
          </cell>
        </row>
        <row r="1870">
          <cell r="A1870" t="str">
            <v>MCBE0323</v>
          </cell>
          <cell r="B1870" t="str">
            <v>Profilés aluminum</v>
          </cell>
          <cell r="C1870" t="str">
            <v>Solinet porte dalle</v>
          </cell>
          <cell r="D1870" t="str">
            <v xml:space="preserve">Angle Rentrant Solinet Porte Dalle 15/40 </v>
          </cell>
        </row>
        <row r="1871">
          <cell r="A1871" t="str">
            <v>MCBE0323</v>
          </cell>
          <cell r="B1871" t="str">
            <v>Profilés aluminum</v>
          </cell>
          <cell r="C1871" t="str">
            <v>Solinet porte dalle</v>
          </cell>
          <cell r="D1871" t="str">
            <v xml:space="preserve">Angle Rentrant Solinet Porte Dalle 15/40 </v>
          </cell>
        </row>
        <row r="1872">
          <cell r="A1872" t="str">
            <v>MCBE0324</v>
          </cell>
          <cell r="B1872" t="str">
            <v>Profilés aluminum</v>
          </cell>
          <cell r="C1872" t="str">
            <v>Solinet porte dalle</v>
          </cell>
          <cell r="D1872" t="str">
            <v xml:space="preserve">Angle Sortant Solinet Porte Dalle 15/40 </v>
          </cell>
        </row>
        <row r="1873">
          <cell r="A1873" t="str">
            <v>MCBE0324</v>
          </cell>
          <cell r="B1873" t="str">
            <v>Profilés aluminum</v>
          </cell>
          <cell r="C1873" t="str">
            <v>Solinet porte dalle</v>
          </cell>
          <cell r="D1873" t="str">
            <v xml:space="preserve">Angle Sortant Solinet Porte Dalle 15/40 </v>
          </cell>
        </row>
        <row r="1874">
          <cell r="A1874" t="str">
            <v>MCBE0324</v>
          </cell>
          <cell r="B1874" t="str">
            <v>Profilés aluminum</v>
          </cell>
          <cell r="C1874" t="str">
            <v>Solinet porte dalle</v>
          </cell>
          <cell r="D1874" t="str">
            <v xml:space="preserve">Angle Sortant Solinet Porte Dalle 15/40 </v>
          </cell>
        </row>
        <row r="1875">
          <cell r="A1875" t="str">
            <v>MCBE0324</v>
          </cell>
          <cell r="B1875" t="str">
            <v>Profilés aluminum</v>
          </cell>
          <cell r="C1875" t="str">
            <v>Solinet porte dalle</v>
          </cell>
          <cell r="D1875" t="str">
            <v xml:space="preserve">Angle Sortant Solinet Porte Dalle 15/40 </v>
          </cell>
        </row>
        <row r="1876">
          <cell r="A1876" t="str">
            <v>MCBE0324</v>
          </cell>
          <cell r="B1876" t="str">
            <v>Profilés aluminum</v>
          </cell>
          <cell r="C1876" t="str">
            <v>Solinet porte dalle</v>
          </cell>
          <cell r="D1876" t="str">
            <v xml:space="preserve">Angle Sortant Solinet Porte Dalle 15/40 </v>
          </cell>
        </row>
        <row r="1877">
          <cell r="A1877" t="str">
            <v>MCBE0325</v>
          </cell>
          <cell r="B1877" t="str">
            <v>Profilés aluminum</v>
          </cell>
          <cell r="C1877" t="str">
            <v>Solinet porte dalle</v>
          </cell>
          <cell r="D1877" t="str">
            <v xml:space="preserve">Jonction Solinet Porte Dalle 15/40 </v>
          </cell>
        </row>
        <row r="1878">
          <cell r="A1878" t="str">
            <v>MCBE0325</v>
          </cell>
          <cell r="B1878" t="str">
            <v>Profilés aluminum</v>
          </cell>
          <cell r="C1878" t="str">
            <v>Solinet porte dalle</v>
          </cell>
          <cell r="D1878" t="str">
            <v xml:space="preserve">Jonction Solinet Porte Dalle 15/40 </v>
          </cell>
        </row>
        <row r="1879">
          <cell r="A1879" t="str">
            <v>MCBE0325</v>
          </cell>
          <cell r="B1879" t="str">
            <v>Profilés aluminum</v>
          </cell>
          <cell r="C1879" t="str">
            <v>Solinet porte dalle</v>
          </cell>
          <cell r="D1879" t="str">
            <v xml:space="preserve">Jonction Solinet Porte Dalle 15/40 </v>
          </cell>
        </row>
        <row r="1880">
          <cell r="A1880" t="str">
            <v>MCBE0325</v>
          </cell>
          <cell r="B1880" t="str">
            <v>Profilés aluminum</v>
          </cell>
          <cell r="C1880" t="str">
            <v>Solinet porte dalle</v>
          </cell>
          <cell r="D1880" t="str">
            <v xml:space="preserve">Jonction Solinet Porte Dalle 15/40 </v>
          </cell>
        </row>
        <row r="1881">
          <cell r="A1881" t="str">
            <v>MCBE0325</v>
          </cell>
          <cell r="B1881" t="str">
            <v>Profilés aluminum</v>
          </cell>
          <cell r="C1881" t="str">
            <v>Solinet porte dalle</v>
          </cell>
          <cell r="D1881" t="str">
            <v xml:space="preserve">Jonction Solinet Porte Dalle 15/40 </v>
          </cell>
        </row>
        <row r="1882">
          <cell r="A1882" t="str">
            <v>MCBE0326</v>
          </cell>
          <cell r="B1882" t="str">
            <v>Profilés aluminum</v>
          </cell>
          <cell r="C1882" t="str">
            <v>Solinet 60/50</v>
          </cell>
          <cell r="D1882" t="str">
            <v xml:space="preserve"> Solinet 60/50 Alu Brut ML 3ml</v>
          </cell>
        </row>
        <row r="1883">
          <cell r="A1883" t="str">
            <v>MCBE0326</v>
          </cell>
          <cell r="B1883" t="str">
            <v>Profilés aluminum</v>
          </cell>
          <cell r="C1883" t="str">
            <v>Solinet 60/50</v>
          </cell>
          <cell r="D1883" t="str">
            <v xml:space="preserve"> Solinet 60/50 Alu Brut ML 3ml</v>
          </cell>
        </row>
        <row r="1884">
          <cell r="A1884" t="str">
            <v>MCBE0326</v>
          </cell>
          <cell r="B1884" t="str">
            <v>Profilés aluminum</v>
          </cell>
          <cell r="C1884" t="str">
            <v>Solinet 60/50</v>
          </cell>
          <cell r="D1884" t="str">
            <v>Solinet 60/50 Alu Brut ML 3ml</v>
          </cell>
        </row>
        <row r="1885">
          <cell r="A1885" t="str">
            <v>MCBE0326</v>
          </cell>
          <cell r="B1885" t="str">
            <v>Profilés aluminum</v>
          </cell>
          <cell r="C1885" t="str">
            <v>Solinet 60/50</v>
          </cell>
          <cell r="D1885" t="str">
            <v>Solinet 60/50 Alu Brut ML 3ml</v>
          </cell>
        </row>
        <row r="1886">
          <cell r="A1886" t="str">
            <v>MCBE0326</v>
          </cell>
          <cell r="B1886" t="str">
            <v>Profilés aluminum</v>
          </cell>
          <cell r="C1886" t="str">
            <v>Solinet 60/50</v>
          </cell>
          <cell r="D1886" t="str">
            <v xml:space="preserve"> Solinet 60/50 Alu Brut ML 3ml</v>
          </cell>
        </row>
        <row r="1887">
          <cell r="A1887" t="str">
            <v>MCBE0327</v>
          </cell>
          <cell r="B1887" t="str">
            <v>Profilés aluminum</v>
          </cell>
          <cell r="C1887" t="str">
            <v>solinet 60/50</v>
          </cell>
          <cell r="D1887" t="str">
            <v xml:space="preserve"> Angle Rentrant Solinet 60/50 </v>
          </cell>
        </row>
        <row r="1888">
          <cell r="A1888" t="str">
            <v>MCBE0327</v>
          </cell>
          <cell r="B1888" t="str">
            <v>Profilés aluminum</v>
          </cell>
          <cell r="C1888" t="str">
            <v>solinet 60/50</v>
          </cell>
          <cell r="D1888" t="str">
            <v xml:space="preserve"> Angle Rentrant Solinet 60/50 </v>
          </cell>
        </row>
        <row r="1889">
          <cell r="A1889" t="str">
            <v>MCBE0327</v>
          </cell>
          <cell r="B1889" t="str">
            <v>Profilés aluminum</v>
          </cell>
          <cell r="C1889" t="str">
            <v>solinet 60/50</v>
          </cell>
          <cell r="D1889" t="str">
            <v xml:space="preserve">Angle Rentrant Solinet 60/50 </v>
          </cell>
        </row>
        <row r="1890">
          <cell r="A1890" t="str">
            <v>MCBE0327</v>
          </cell>
          <cell r="B1890" t="str">
            <v>Profilés aluminum</v>
          </cell>
          <cell r="C1890" t="str">
            <v>solinet 60/50</v>
          </cell>
          <cell r="D1890" t="str">
            <v xml:space="preserve">Angle Rentrant Solinet 60/50 </v>
          </cell>
        </row>
        <row r="1891">
          <cell r="A1891" t="str">
            <v>MCBE0327</v>
          </cell>
          <cell r="B1891" t="str">
            <v>Profilés aluminum</v>
          </cell>
          <cell r="C1891" t="str">
            <v>solinet 60/50</v>
          </cell>
          <cell r="D1891" t="str">
            <v xml:space="preserve"> Angle Rentrant Solinet 60/50 </v>
          </cell>
        </row>
        <row r="1892">
          <cell r="A1892" t="str">
            <v>MCBE0328</v>
          </cell>
          <cell r="B1892" t="str">
            <v>Profilés aluminum</v>
          </cell>
          <cell r="C1892" t="str">
            <v>Solinet 60/50</v>
          </cell>
          <cell r="D1892" t="str">
            <v xml:space="preserve">Angle Sortant Solinet 60/50 </v>
          </cell>
        </row>
        <row r="1893">
          <cell r="A1893" t="str">
            <v>MCBE0328</v>
          </cell>
          <cell r="B1893" t="str">
            <v>Profilés aluminum</v>
          </cell>
          <cell r="C1893" t="str">
            <v>Solinet 60/50</v>
          </cell>
          <cell r="D1893" t="str">
            <v xml:space="preserve">Angle Sortant Solinet 60/50 </v>
          </cell>
        </row>
        <row r="1894">
          <cell r="A1894" t="str">
            <v>MCBE0328</v>
          </cell>
          <cell r="B1894" t="str">
            <v>Profilés aluminum</v>
          </cell>
          <cell r="C1894" t="str">
            <v>Solinet 60/50</v>
          </cell>
          <cell r="D1894" t="str">
            <v xml:space="preserve">Angle Sortant Solinet 60/50 </v>
          </cell>
        </row>
        <row r="1895">
          <cell r="A1895" t="str">
            <v>MCBE0328</v>
          </cell>
          <cell r="B1895" t="str">
            <v>Profilés aluminum</v>
          </cell>
          <cell r="C1895" t="str">
            <v>Solinet 60/50</v>
          </cell>
          <cell r="D1895" t="str">
            <v xml:space="preserve">Angle Sortant Solinet 60/50 </v>
          </cell>
        </row>
        <row r="1896">
          <cell r="A1896" t="str">
            <v>MCBE0328</v>
          </cell>
          <cell r="B1896" t="str">
            <v>Profilés aluminum</v>
          </cell>
          <cell r="C1896" t="str">
            <v>Solinet 60/50</v>
          </cell>
          <cell r="D1896" t="str">
            <v xml:space="preserve">Angle Sortant Solinet 60/50 </v>
          </cell>
        </row>
        <row r="1897">
          <cell r="A1897" t="str">
            <v>MCBE0329</v>
          </cell>
          <cell r="B1897" t="str">
            <v>Profilés aluminum</v>
          </cell>
          <cell r="C1897" t="str">
            <v>Solinet 60/50</v>
          </cell>
          <cell r="D1897" t="str">
            <v xml:space="preserve">Jonction Solinet 60/50 </v>
          </cell>
        </row>
        <row r="1898">
          <cell r="A1898" t="str">
            <v>MCBE0329</v>
          </cell>
          <cell r="B1898" t="str">
            <v>Profilés aluminum</v>
          </cell>
          <cell r="C1898" t="str">
            <v>Solinet 60/50</v>
          </cell>
          <cell r="D1898" t="str">
            <v xml:space="preserve">Jonction Solinet 60/50 </v>
          </cell>
        </row>
        <row r="1899">
          <cell r="A1899" t="str">
            <v>MCBE0329</v>
          </cell>
          <cell r="B1899" t="str">
            <v>Profilés aluminum</v>
          </cell>
          <cell r="C1899" t="str">
            <v>Solinet 60/50</v>
          </cell>
          <cell r="D1899" t="str">
            <v xml:space="preserve">Jonction Solinet 60/50 </v>
          </cell>
        </row>
        <row r="1900">
          <cell r="A1900" t="str">
            <v>MCBE0329</v>
          </cell>
          <cell r="B1900" t="str">
            <v>Profilés aluminum</v>
          </cell>
          <cell r="C1900" t="str">
            <v>Solinet 60/50</v>
          </cell>
          <cell r="D1900" t="str">
            <v xml:space="preserve">Jonction Solinet 60/50 </v>
          </cell>
        </row>
        <row r="1901">
          <cell r="A1901" t="str">
            <v>MCBE0329</v>
          </cell>
          <cell r="B1901" t="str">
            <v>Profilés aluminum</v>
          </cell>
          <cell r="C1901" t="str">
            <v>Solinet 60/50</v>
          </cell>
          <cell r="D1901" t="str">
            <v xml:space="preserve">Jonction Solinet 60/50 </v>
          </cell>
        </row>
        <row r="1902">
          <cell r="A1902" t="str">
            <v>MCBE0330</v>
          </cell>
          <cell r="B1902" t="str">
            <v>Profilés aluminum</v>
          </cell>
          <cell r="C1902" t="str">
            <v>Soleco 15/40 avec joints mousse</v>
          </cell>
          <cell r="D1902" t="str">
            <v xml:space="preserve">SOLECO J 15/40 AVEC JOINT 3ML (accessoires idem SOLECO) ML 3ml </v>
          </cell>
        </row>
        <row r="1903">
          <cell r="A1903" t="str">
            <v>MCBE0330</v>
          </cell>
          <cell r="B1903" t="str">
            <v>Profilés aluminum</v>
          </cell>
          <cell r="C1903" t="str">
            <v>Soleco 15/40 avec joints mousse</v>
          </cell>
          <cell r="D1903" t="str">
            <v xml:space="preserve">SOLECO J 15/40 AVEC JOINT 3ML (accessoires idem SOLECO) ML 3ml </v>
          </cell>
        </row>
        <row r="1904">
          <cell r="A1904" t="str">
            <v>MCBE0330</v>
          </cell>
          <cell r="B1904" t="str">
            <v>Profilés aluminum</v>
          </cell>
          <cell r="C1904" t="str">
            <v>Soleco 15/40 avec joints mousse</v>
          </cell>
          <cell r="D1904" t="str">
            <v xml:space="preserve">SOLECO J 15/40 AVEC JOINT 3ML (accessoires idem SOLECO) ML 3ml </v>
          </cell>
        </row>
        <row r="1905">
          <cell r="A1905" t="str">
            <v>MCBE0330</v>
          </cell>
          <cell r="B1905" t="str">
            <v>Profilés aluminum</v>
          </cell>
          <cell r="C1905" t="str">
            <v>Soleco 15/40 avec joints mousse</v>
          </cell>
          <cell r="D1905" t="str">
            <v xml:space="preserve">SOLECO J 15/40 AVEC JOINT 3ML (accessoires idem SOLECO) ML 3ml </v>
          </cell>
        </row>
        <row r="1906">
          <cell r="A1906" t="str">
            <v>MCBE0330</v>
          </cell>
          <cell r="B1906" t="str">
            <v>Profilés aluminum</v>
          </cell>
          <cell r="C1906" t="str">
            <v>Soleco 15/40 avec joints mousse</v>
          </cell>
          <cell r="D1906" t="str">
            <v xml:space="preserve">SOLECO J 15/40 AVEC JOINT 3ML (accessoires idem SOLECO) ML 3ml </v>
          </cell>
        </row>
        <row r="1907">
          <cell r="A1907" t="str">
            <v>MCBE0331</v>
          </cell>
          <cell r="B1907" t="str">
            <v>Profilés aluminum</v>
          </cell>
          <cell r="C1907" t="str">
            <v xml:space="preserve">Soleco 15/40 </v>
          </cell>
          <cell r="D1907" t="str">
            <v xml:space="preserve">Soleco 15/40 Alu Brut ML 3ml 2,45 </v>
          </cell>
        </row>
        <row r="1908">
          <cell r="A1908" t="str">
            <v>MCBE0331</v>
          </cell>
          <cell r="B1908" t="str">
            <v>Profilés aluminum</v>
          </cell>
          <cell r="C1908" t="str">
            <v xml:space="preserve">Soleco 15/40 </v>
          </cell>
          <cell r="D1908" t="str">
            <v xml:space="preserve">Soleco 15/40 Alu Brut ML 3ml 2,45 </v>
          </cell>
        </row>
        <row r="1909">
          <cell r="A1909" t="str">
            <v>MCBE0331</v>
          </cell>
          <cell r="B1909" t="str">
            <v>Profilés aluminum</v>
          </cell>
          <cell r="C1909" t="str">
            <v xml:space="preserve">Soleco 15/40 </v>
          </cell>
          <cell r="D1909" t="str">
            <v xml:space="preserve">Soleco 15/40 Alu Brut ML 3ml 2,45 </v>
          </cell>
        </row>
        <row r="1910">
          <cell r="A1910" t="str">
            <v>MCBE0331</v>
          </cell>
          <cell r="B1910" t="str">
            <v>Profilés aluminum</v>
          </cell>
          <cell r="C1910" t="str">
            <v xml:space="preserve">Soleco 15/40 </v>
          </cell>
          <cell r="D1910" t="str">
            <v xml:space="preserve">Soleco 15/40 Alu Brut ML 3ml 2,45 </v>
          </cell>
        </row>
        <row r="1911">
          <cell r="A1911" t="str">
            <v>MCBE0331</v>
          </cell>
          <cell r="B1911" t="str">
            <v>Profilés aluminum</v>
          </cell>
          <cell r="C1911" t="str">
            <v xml:space="preserve">Soleco 15/40 </v>
          </cell>
          <cell r="D1911" t="str">
            <v xml:space="preserve">Soleco 15/40 Alu Brut ML 3ml 2,45 </v>
          </cell>
        </row>
        <row r="1912">
          <cell r="A1912" t="str">
            <v>MCBE0331</v>
          </cell>
          <cell r="B1912" t="str">
            <v>Profilés aluminum</v>
          </cell>
          <cell r="C1912" t="str">
            <v xml:space="preserve">Soleco 15/40 </v>
          </cell>
          <cell r="D1912" t="str">
            <v xml:space="preserve">Soleco 15/40 Alu Brut ML 3ml 2,45 </v>
          </cell>
        </row>
        <row r="1913">
          <cell r="A1913" t="str">
            <v>MCBE0332</v>
          </cell>
          <cell r="B1913" t="str">
            <v>Profilés aluminum</v>
          </cell>
          <cell r="C1913" t="str">
            <v xml:space="preserve">Soleco 15/40 </v>
          </cell>
          <cell r="D1913" t="str">
            <v>Angle Rentrant Soleco 15/40</v>
          </cell>
        </row>
        <row r="1914">
          <cell r="A1914" t="str">
            <v>MCBE0332</v>
          </cell>
          <cell r="B1914" t="str">
            <v>Profilés aluminum</v>
          </cell>
          <cell r="C1914" t="str">
            <v xml:space="preserve">Soleco 15/40 </v>
          </cell>
          <cell r="D1914" t="str">
            <v>Angle Rentrant Soleco 15/40</v>
          </cell>
        </row>
        <row r="1915">
          <cell r="A1915" t="str">
            <v>MCBE0332</v>
          </cell>
          <cell r="B1915" t="str">
            <v>Profilés aluminum</v>
          </cell>
          <cell r="C1915" t="str">
            <v xml:space="preserve">Soleco 15/40 </v>
          </cell>
          <cell r="D1915" t="str">
            <v>Angle Rentrant Soleco 15/40</v>
          </cell>
        </row>
        <row r="1916">
          <cell r="A1916" t="str">
            <v>MCBE0332</v>
          </cell>
          <cell r="B1916" t="str">
            <v>Profilés aluminum</v>
          </cell>
          <cell r="C1916" t="str">
            <v xml:space="preserve">Soleco 15/40 </v>
          </cell>
          <cell r="D1916" t="str">
            <v>Angle Rentrant Soleco 15/40</v>
          </cell>
        </row>
        <row r="1917">
          <cell r="A1917" t="str">
            <v>MCBE0332</v>
          </cell>
          <cell r="B1917" t="str">
            <v>Profilés aluminum</v>
          </cell>
          <cell r="C1917" t="str">
            <v xml:space="preserve">Soleco 15/40 </v>
          </cell>
          <cell r="D1917" t="str">
            <v>Angle Rentrant Soleco 15/40</v>
          </cell>
        </row>
        <row r="1918">
          <cell r="A1918" t="str">
            <v>MCBE0332</v>
          </cell>
          <cell r="B1918" t="str">
            <v>Profilés aluminum</v>
          </cell>
          <cell r="C1918" t="str">
            <v xml:space="preserve">Soleco 15/40 </v>
          </cell>
          <cell r="D1918" t="str">
            <v>Angle Rentrant Soleco 15/40</v>
          </cell>
        </row>
        <row r="1919">
          <cell r="A1919" t="str">
            <v>MCBE0333</v>
          </cell>
          <cell r="B1919" t="str">
            <v>Profilés aluminum</v>
          </cell>
          <cell r="C1919" t="str">
            <v>Soleco 15/40</v>
          </cell>
          <cell r="D1919" t="str">
            <v>Angle Sortant Soleco 15/40</v>
          </cell>
        </row>
        <row r="1920">
          <cell r="A1920" t="str">
            <v>MCBE0333</v>
          </cell>
          <cell r="B1920" t="str">
            <v>Profilés aluminum</v>
          </cell>
          <cell r="C1920" t="str">
            <v>Soleco 15/40</v>
          </cell>
          <cell r="D1920" t="str">
            <v>Angle Sortant Soleco 15/40</v>
          </cell>
        </row>
        <row r="1921">
          <cell r="A1921" t="str">
            <v>MCBE0333</v>
          </cell>
          <cell r="B1921" t="str">
            <v>Profilés aluminum</v>
          </cell>
          <cell r="C1921" t="str">
            <v>Soleco 15/40</v>
          </cell>
          <cell r="D1921" t="str">
            <v>Angle Sortant Soleco 15/40</v>
          </cell>
        </row>
        <row r="1922">
          <cell r="A1922" t="str">
            <v>MCBE0333</v>
          </cell>
          <cell r="B1922" t="str">
            <v>Profilés aluminum</v>
          </cell>
          <cell r="C1922" t="str">
            <v>Soleco 15/40</v>
          </cell>
          <cell r="D1922" t="str">
            <v>Angle Sortant Soleco 15/40</v>
          </cell>
        </row>
        <row r="1923">
          <cell r="A1923" t="str">
            <v>MCBE0333</v>
          </cell>
          <cell r="B1923" t="str">
            <v>Profilés aluminum</v>
          </cell>
          <cell r="C1923" t="str">
            <v>Soleco 15/40</v>
          </cell>
          <cell r="D1923" t="str">
            <v>Angle Sortant Soleco 15/40</v>
          </cell>
        </row>
        <row r="1924">
          <cell r="A1924" t="str">
            <v>MCBE0333</v>
          </cell>
          <cell r="B1924" t="str">
            <v>Profilés aluminum</v>
          </cell>
          <cell r="C1924" t="str">
            <v>Soleco 15/40</v>
          </cell>
          <cell r="D1924" t="str">
            <v>Angle Sortant Soleco 15/40</v>
          </cell>
        </row>
        <row r="1925">
          <cell r="A1925" t="str">
            <v>MCBE0334</v>
          </cell>
          <cell r="B1925" t="str">
            <v>Profilés aluminum</v>
          </cell>
          <cell r="C1925" t="str">
            <v>Soleco 15/40</v>
          </cell>
          <cell r="D1925" t="str">
            <v xml:space="preserve">Jonction Soleco 15/40 </v>
          </cell>
        </row>
        <row r="1926">
          <cell r="A1926" t="str">
            <v>MCBE0334</v>
          </cell>
          <cell r="B1926" t="str">
            <v>Profilés aluminum</v>
          </cell>
          <cell r="C1926" t="str">
            <v>Soleco 15/40</v>
          </cell>
          <cell r="D1926" t="str">
            <v xml:space="preserve">Jonction Soleco 15/40 </v>
          </cell>
        </row>
        <row r="1927">
          <cell r="A1927" t="str">
            <v>MCBE0334</v>
          </cell>
          <cell r="B1927" t="str">
            <v>Profilés aluminum</v>
          </cell>
          <cell r="C1927" t="str">
            <v>Soleco 15/40</v>
          </cell>
          <cell r="D1927" t="str">
            <v xml:space="preserve">Jonction Soleco 15/40 </v>
          </cell>
        </row>
        <row r="1928">
          <cell r="A1928" t="str">
            <v>MCBE0334</v>
          </cell>
          <cell r="B1928" t="str">
            <v>Profilés aluminum</v>
          </cell>
          <cell r="C1928" t="str">
            <v>Soleco 15/40</v>
          </cell>
          <cell r="D1928" t="str">
            <v xml:space="preserve">Jonction Soleco 15/40 </v>
          </cell>
        </row>
        <row r="1929">
          <cell r="A1929" t="str">
            <v>MCBE0334</v>
          </cell>
          <cell r="B1929" t="str">
            <v>Profilés aluminum</v>
          </cell>
          <cell r="C1929" t="str">
            <v>Soleco 15/40</v>
          </cell>
          <cell r="D1929" t="str">
            <v xml:space="preserve">Jonction Soleco 15/40 </v>
          </cell>
        </row>
        <row r="1930">
          <cell r="A1930" t="str">
            <v>MCBE0334</v>
          </cell>
          <cell r="B1930" t="str">
            <v>Profilés aluminum</v>
          </cell>
          <cell r="C1930" t="str">
            <v>Soleco 15/40</v>
          </cell>
          <cell r="D1930" t="str">
            <v xml:space="preserve">Jonction Soleco 15/40 </v>
          </cell>
        </row>
        <row r="1931">
          <cell r="A1931" t="str">
            <v>MCBE0335</v>
          </cell>
          <cell r="B1931" t="str">
            <v>Profilés aluminum</v>
          </cell>
          <cell r="C1931" t="str">
            <v>Rivnet 35/80</v>
          </cell>
          <cell r="D1931" t="str">
            <v xml:space="preserve">Rivnet 35/80 Alu Brut ML 3ml </v>
          </cell>
        </row>
        <row r="1932">
          <cell r="A1932" t="str">
            <v>MCBE0335</v>
          </cell>
          <cell r="B1932" t="str">
            <v>Profilés aluminum</v>
          </cell>
          <cell r="C1932" t="str">
            <v>Rivnet 35/80</v>
          </cell>
          <cell r="D1932" t="str">
            <v xml:space="preserve">Rivnet 35/80 Alu Brut ML 3ml </v>
          </cell>
        </row>
        <row r="1933">
          <cell r="A1933" t="str">
            <v>MCBE0335</v>
          </cell>
          <cell r="B1933" t="str">
            <v>Profilés aluminum</v>
          </cell>
          <cell r="C1933" t="str">
            <v>Rivnet 35/80</v>
          </cell>
          <cell r="D1933" t="str">
            <v xml:space="preserve">Rivnet 35/80 Alu Brut ML 3ml </v>
          </cell>
        </row>
        <row r="1934">
          <cell r="A1934" t="str">
            <v>MCBE0335</v>
          </cell>
          <cell r="B1934" t="str">
            <v>Profilés aluminum</v>
          </cell>
          <cell r="C1934" t="str">
            <v>Rivnet 35/80</v>
          </cell>
          <cell r="D1934" t="str">
            <v xml:space="preserve">Rivnet 35/80 Alu Brut ML 3ml </v>
          </cell>
        </row>
        <row r="1935">
          <cell r="A1935" t="str">
            <v>MCBE0335</v>
          </cell>
          <cell r="B1935" t="str">
            <v>Profilés aluminum</v>
          </cell>
          <cell r="C1935" t="str">
            <v>Rivnet 35/80</v>
          </cell>
          <cell r="D1935" t="str">
            <v xml:space="preserve">Rivnet 35/80 Alu Brut ML 3ml </v>
          </cell>
        </row>
        <row r="1936">
          <cell r="A1936" t="str">
            <v>MCBE0335</v>
          </cell>
          <cell r="B1936" t="str">
            <v>Profilés aluminum</v>
          </cell>
          <cell r="C1936" t="str">
            <v>Rivnet 35/80</v>
          </cell>
          <cell r="D1936" t="str">
            <v xml:space="preserve">Rivnet 35/80 Alu Brut ML 3ml </v>
          </cell>
        </row>
        <row r="1937">
          <cell r="A1937" t="str">
            <v>MCBE0336</v>
          </cell>
          <cell r="B1937" t="str">
            <v>Profilés aluminum</v>
          </cell>
          <cell r="C1937" t="str">
            <v>Rivnet 35/80</v>
          </cell>
          <cell r="D1937" t="str">
            <v xml:space="preserve">Angle Rentrant Rivnet 35/80 </v>
          </cell>
        </row>
        <row r="1938">
          <cell r="A1938" t="str">
            <v>MCBE0336</v>
          </cell>
          <cell r="B1938" t="str">
            <v>Profilés aluminum</v>
          </cell>
          <cell r="C1938" t="str">
            <v>Rivnet 35/80</v>
          </cell>
          <cell r="D1938" t="str">
            <v xml:space="preserve">Angle Rentrant Rivnet 35/80 </v>
          </cell>
        </row>
        <row r="1939">
          <cell r="A1939" t="str">
            <v>MCBE0336</v>
          </cell>
          <cell r="B1939" t="str">
            <v>Profilés aluminum</v>
          </cell>
          <cell r="C1939" t="str">
            <v>Rivnet 35/80</v>
          </cell>
          <cell r="D1939" t="str">
            <v xml:space="preserve">Angle Rentrant Rivnet 35/80 </v>
          </cell>
        </row>
        <row r="1940">
          <cell r="A1940" t="str">
            <v>MCBE0336</v>
          </cell>
          <cell r="B1940" t="str">
            <v>Profilés aluminum</v>
          </cell>
          <cell r="C1940" t="str">
            <v>Rivnet 35/80</v>
          </cell>
          <cell r="D1940" t="str">
            <v xml:space="preserve">Angle Rentrant Rivnet 35/80 </v>
          </cell>
        </row>
        <row r="1941">
          <cell r="A1941" t="str">
            <v>MCBE0336</v>
          </cell>
          <cell r="B1941" t="str">
            <v>Profilés aluminum</v>
          </cell>
          <cell r="C1941" t="str">
            <v>Rivnet 35/80</v>
          </cell>
          <cell r="D1941" t="str">
            <v xml:space="preserve">Angle Rentrant Rivnet 35/80 </v>
          </cell>
        </row>
        <row r="1942">
          <cell r="A1942" t="str">
            <v>MCBE0337</v>
          </cell>
          <cell r="B1942" t="str">
            <v>Profilés aluminum</v>
          </cell>
          <cell r="C1942" t="str">
            <v>Rivnet 35/80</v>
          </cell>
          <cell r="D1942" t="str">
            <v xml:space="preserve"> Angle Sortant Rivnet 35/80 </v>
          </cell>
        </row>
        <row r="1943">
          <cell r="A1943" t="str">
            <v>MCBE0337</v>
          </cell>
          <cell r="B1943" t="str">
            <v>Profilés aluminum</v>
          </cell>
          <cell r="C1943" t="str">
            <v>Rivnet 35/80</v>
          </cell>
          <cell r="D1943" t="str">
            <v xml:space="preserve"> Angle Sortant Rivnet 35/80 </v>
          </cell>
        </row>
        <row r="1944">
          <cell r="A1944" t="str">
            <v>MCBE0337</v>
          </cell>
          <cell r="B1944" t="str">
            <v>Profilés aluminum</v>
          </cell>
          <cell r="C1944" t="str">
            <v>Rivnet 35/80</v>
          </cell>
          <cell r="D1944" t="str">
            <v xml:space="preserve"> Angle Sortant Rivnet 35/80 </v>
          </cell>
        </row>
        <row r="1945">
          <cell r="A1945" t="str">
            <v>MCBE0337</v>
          </cell>
          <cell r="B1945" t="str">
            <v>Profilés aluminum</v>
          </cell>
          <cell r="C1945" t="str">
            <v>Rivnet 35/80</v>
          </cell>
          <cell r="D1945" t="str">
            <v xml:space="preserve"> Angle Sortant Rivnet 35/80 </v>
          </cell>
        </row>
        <row r="1946">
          <cell r="A1946" t="str">
            <v>MCBE0337</v>
          </cell>
          <cell r="B1946" t="str">
            <v>Profilés aluminum</v>
          </cell>
          <cell r="C1946" t="str">
            <v>Rivnet 35/80</v>
          </cell>
          <cell r="D1946" t="str">
            <v xml:space="preserve">Angle Sortant Rivnet 35/80 </v>
          </cell>
        </row>
        <row r="1947">
          <cell r="A1947" t="str">
            <v>MCBE0337</v>
          </cell>
          <cell r="B1947" t="str">
            <v>Profilés aluminum</v>
          </cell>
          <cell r="C1947" t="str">
            <v>Rivnet 35/80</v>
          </cell>
          <cell r="D1947" t="str">
            <v xml:space="preserve"> Angle Sortant Rivnet 35/80 </v>
          </cell>
        </row>
        <row r="1948">
          <cell r="A1948" t="str">
            <v>MCBE0338</v>
          </cell>
          <cell r="B1948" t="str">
            <v>Profilés aluminum</v>
          </cell>
          <cell r="C1948" t="str">
            <v>Rivnet 35/80</v>
          </cell>
          <cell r="D1948" t="str">
            <v xml:space="preserve"> Jonction Rivnet 35/80 </v>
          </cell>
        </row>
        <row r="1949">
          <cell r="A1949" t="str">
            <v>MCBE0338</v>
          </cell>
          <cell r="B1949" t="str">
            <v>Profilés aluminum</v>
          </cell>
          <cell r="C1949" t="str">
            <v>Rivnet 35/80</v>
          </cell>
          <cell r="D1949" t="str">
            <v xml:space="preserve"> Jonction Rivnet 35/80 </v>
          </cell>
        </row>
        <row r="1950">
          <cell r="A1950" t="str">
            <v>MCBE0338</v>
          </cell>
          <cell r="B1950" t="str">
            <v>Profilés aluminum</v>
          </cell>
          <cell r="C1950" t="str">
            <v>Rivnet 35/80</v>
          </cell>
          <cell r="D1950" t="str">
            <v xml:space="preserve"> Jonction Rivnet 35/80 </v>
          </cell>
        </row>
        <row r="1951">
          <cell r="A1951" t="str">
            <v>MCBE0338</v>
          </cell>
          <cell r="B1951" t="str">
            <v>Profilés aluminum</v>
          </cell>
          <cell r="C1951" t="str">
            <v>Rivnet 35/80</v>
          </cell>
          <cell r="D1951" t="str">
            <v xml:space="preserve"> Jonction Rivnet 35/80 </v>
          </cell>
        </row>
        <row r="1952">
          <cell r="A1952" t="str">
            <v>MCBE0338</v>
          </cell>
          <cell r="B1952" t="str">
            <v>Profilés aluminum</v>
          </cell>
          <cell r="C1952" t="str">
            <v>Rivnet 35/80</v>
          </cell>
          <cell r="D1952" t="str">
            <v xml:space="preserve">Jonction Rivnet 35/80 </v>
          </cell>
        </row>
        <row r="1953">
          <cell r="A1953" t="str">
            <v>MCBE0338</v>
          </cell>
          <cell r="B1953" t="str">
            <v>Profilés aluminum</v>
          </cell>
          <cell r="C1953" t="str">
            <v>Rivnet 35/80</v>
          </cell>
          <cell r="D1953" t="str">
            <v xml:space="preserve"> Jonction Rivnet 35/80 </v>
          </cell>
        </row>
        <row r="1954">
          <cell r="A1954" t="str">
            <v>MCBE0339</v>
          </cell>
          <cell r="B1954" t="str">
            <v>Profilés aluminum</v>
          </cell>
          <cell r="C1954" t="str">
            <v>Riveco 30/80</v>
          </cell>
          <cell r="D1954" t="str">
            <v xml:space="preserve">Riveco 30/80 Alu Brut ML 3ml </v>
          </cell>
        </row>
        <row r="1955">
          <cell r="A1955" t="str">
            <v>MCBE0339</v>
          </cell>
          <cell r="B1955" t="str">
            <v>Profilés aluminum</v>
          </cell>
          <cell r="C1955" t="str">
            <v>Riveco 30/80</v>
          </cell>
          <cell r="D1955" t="str">
            <v xml:space="preserve">Riveco 30/80 Alu Brut ML 3ml </v>
          </cell>
        </row>
        <row r="1956">
          <cell r="A1956" t="str">
            <v>MCBE0339</v>
          </cell>
          <cell r="B1956" t="str">
            <v>Profilés aluminum</v>
          </cell>
          <cell r="C1956" t="str">
            <v>Riveco 30/80</v>
          </cell>
          <cell r="D1956" t="str">
            <v xml:space="preserve">Riveco 30/80 Alu Brut ML 3ml </v>
          </cell>
        </row>
        <row r="1957">
          <cell r="A1957" t="str">
            <v>MCBE0339</v>
          </cell>
          <cell r="B1957" t="str">
            <v>Profilés aluminum</v>
          </cell>
          <cell r="C1957" t="str">
            <v>Riveco 30/80</v>
          </cell>
          <cell r="D1957" t="str">
            <v xml:space="preserve">Riveco 30/80 Alu Brut ML 3ml </v>
          </cell>
        </row>
        <row r="1958">
          <cell r="A1958" t="str">
            <v>MCBE0339</v>
          </cell>
          <cell r="B1958" t="str">
            <v>Profilés aluminum</v>
          </cell>
          <cell r="C1958" t="str">
            <v>Riveco 30/80</v>
          </cell>
          <cell r="D1958" t="str">
            <v xml:space="preserve">Riveco 30/80 Alu Brut ML 3ml </v>
          </cell>
        </row>
        <row r="1959">
          <cell r="A1959" t="str">
            <v>MCBE0340</v>
          </cell>
          <cell r="B1959" t="str">
            <v>Profilés aluminum</v>
          </cell>
          <cell r="C1959" t="str">
            <v>Riveco 30/80</v>
          </cell>
          <cell r="D1959" t="str">
            <v xml:space="preserve">Angle Rentrant Riveco 30/80 </v>
          </cell>
        </row>
        <row r="1960">
          <cell r="A1960" t="str">
            <v>MCBE0340</v>
          </cell>
          <cell r="B1960" t="str">
            <v>Profilés aluminum</v>
          </cell>
          <cell r="C1960" t="str">
            <v>Riveco 30/80</v>
          </cell>
          <cell r="D1960" t="str">
            <v xml:space="preserve">Angle Rentrant Riveco 30/80 </v>
          </cell>
        </row>
        <row r="1961">
          <cell r="A1961" t="str">
            <v>MCBE0340</v>
          </cell>
          <cell r="B1961" t="str">
            <v>Profilés aluminum</v>
          </cell>
          <cell r="C1961" t="str">
            <v>Riveco 30/80</v>
          </cell>
          <cell r="D1961" t="str">
            <v xml:space="preserve">Angle Rentrant Riveco 30/80 </v>
          </cell>
        </row>
        <row r="1962">
          <cell r="A1962" t="str">
            <v>MCBE0340</v>
          </cell>
          <cell r="B1962" t="str">
            <v>Profilés aluminum</v>
          </cell>
          <cell r="C1962" t="str">
            <v>Riveco 30/80</v>
          </cell>
          <cell r="D1962" t="str">
            <v xml:space="preserve">Angle Rentrant Riveco 30/80 </v>
          </cell>
        </row>
        <row r="1963">
          <cell r="A1963" t="str">
            <v>MCBE0340</v>
          </cell>
          <cell r="B1963" t="str">
            <v>Profilés aluminum</v>
          </cell>
          <cell r="C1963" t="str">
            <v>Riveco 30/80</v>
          </cell>
          <cell r="D1963" t="str">
            <v xml:space="preserve">Angle Rentrant Riveco 30/80 </v>
          </cell>
        </row>
        <row r="1964">
          <cell r="A1964" t="str">
            <v>MCBE0341</v>
          </cell>
          <cell r="B1964" t="str">
            <v>Profilés aluminum</v>
          </cell>
          <cell r="C1964" t="str">
            <v>Riveco 30/80</v>
          </cell>
          <cell r="D1964" t="str">
            <v>Angle Sortant Riveco 30/80</v>
          </cell>
        </row>
        <row r="1965">
          <cell r="A1965" t="str">
            <v>MCBE0341</v>
          </cell>
          <cell r="B1965" t="str">
            <v>Profilés aluminum</v>
          </cell>
          <cell r="C1965" t="str">
            <v>Riveco 30/80</v>
          </cell>
          <cell r="D1965" t="str">
            <v>Angle Sortant Riveco 30/80</v>
          </cell>
        </row>
        <row r="1966">
          <cell r="A1966" t="str">
            <v>MCBE0341</v>
          </cell>
          <cell r="B1966" t="str">
            <v>Profilés aluminum</v>
          </cell>
          <cell r="C1966" t="str">
            <v>Riveco 30/80</v>
          </cell>
          <cell r="D1966" t="str">
            <v>Angle Sortant Riveco 30/80</v>
          </cell>
        </row>
        <row r="1967">
          <cell r="A1967" t="str">
            <v>MCBE0341</v>
          </cell>
          <cell r="B1967" t="str">
            <v>Profilés aluminum</v>
          </cell>
          <cell r="C1967" t="str">
            <v>Riveco 30/80</v>
          </cell>
          <cell r="D1967" t="str">
            <v>Angle Sortant Riveco 30/80</v>
          </cell>
        </row>
        <row r="1968">
          <cell r="A1968" t="str">
            <v>MCBE0341</v>
          </cell>
          <cell r="B1968" t="str">
            <v>Profilés aluminum</v>
          </cell>
          <cell r="C1968" t="str">
            <v>Riveco 30/80</v>
          </cell>
          <cell r="D1968" t="str">
            <v>Angle Sortant Riveco 30/80</v>
          </cell>
        </row>
        <row r="1969">
          <cell r="A1969" t="str">
            <v>MCBE0342</v>
          </cell>
          <cell r="B1969" t="str">
            <v>Profilés aluminum</v>
          </cell>
          <cell r="C1969" t="str">
            <v>Riveco 30/80</v>
          </cell>
          <cell r="D1969" t="str">
            <v xml:space="preserve">Jonction Riveco 30/80 </v>
          </cell>
        </row>
        <row r="1970">
          <cell r="A1970" t="str">
            <v>MCBE0342</v>
          </cell>
          <cell r="B1970" t="str">
            <v>Profilés aluminum</v>
          </cell>
          <cell r="C1970" t="str">
            <v>Riveco 30/80</v>
          </cell>
          <cell r="D1970" t="str">
            <v xml:space="preserve">Jonction Riveco 30/80 </v>
          </cell>
        </row>
        <row r="1971">
          <cell r="A1971" t="str">
            <v>MCBE0342</v>
          </cell>
          <cell r="B1971" t="str">
            <v>Profilés aluminum</v>
          </cell>
          <cell r="C1971" t="str">
            <v>Riveco 30/80</v>
          </cell>
          <cell r="D1971" t="str">
            <v xml:space="preserve">Jonction Riveco 30/80 </v>
          </cell>
        </row>
        <row r="1972">
          <cell r="A1972" t="str">
            <v>MCBE0342</v>
          </cell>
          <cell r="B1972" t="str">
            <v>Profilés aluminum</v>
          </cell>
          <cell r="C1972" t="str">
            <v>Riveco 30/80</v>
          </cell>
          <cell r="D1972" t="str">
            <v xml:space="preserve">Jonction Riveco 30/80 </v>
          </cell>
        </row>
        <row r="1973">
          <cell r="A1973" t="str">
            <v>MCBE0342</v>
          </cell>
          <cell r="B1973" t="str">
            <v>Profilés aluminum</v>
          </cell>
          <cell r="C1973" t="str">
            <v>Riveco 30/80</v>
          </cell>
          <cell r="D1973" t="str">
            <v xml:space="preserve">Jonction Riveco 30/80 </v>
          </cell>
        </row>
        <row r="1974">
          <cell r="A1974" t="str">
            <v>MCBE0476</v>
          </cell>
          <cell r="B1974" t="str">
            <v>Protection</v>
          </cell>
          <cell r="C1974" t="str">
            <v>ecran sous-toiture</v>
          </cell>
          <cell r="D1974" t="str">
            <v>Ecran de sous-toiture HPVR2</v>
          </cell>
        </row>
        <row r="1975">
          <cell r="A1975" t="str">
            <v>MCBE0343</v>
          </cell>
          <cell r="B1975" t="str">
            <v>Sécurité</v>
          </cell>
          <cell r="C1975" t="str">
            <v>Filet de manutention</v>
          </cell>
          <cell r="D1975" t="str">
            <v xml:space="preserve">Filet de Manutention 5x5ml (Levage 3T) </v>
          </cell>
        </row>
        <row r="1976">
          <cell r="A1976" t="str">
            <v>MCBE0343</v>
          </cell>
          <cell r="B1976" t="str">
            <v>Sécurité</v>
          </cell>
          <cell r="C1976" t="str">
            <v>Filet de manutention</v>
          </cell>
          <cell r="D1976" t="str">
            <v xml:space="preserve">Filet de Manutention 5x5ml (Levage 3T) </v>
          </cell>
        </row>
        <row r="1977">
          <cell r="A1977" t="str">
            <v>MCBE0343</v>
          </cell>
          <cell r="B1977" t="str">
            <v>Sécurité</v>
          </cell>
          <cell r="C1977" t="str">
            <v>Filet de manutention</v>
          </cell>
          <cell r="D1977" t="str">
            <v xml:space="preserve">Filet de Manutention 5x5ml (Levage 3T) </v>
          </cell>
        </row>
        <row r="1978">
          <cell r="A1978" t="str">
            <v>MCBE0343</v>
          </cell>
          <cell r="B1978" t="str">
            <v>Sécurité</v>
          </cell>
          <cell r="C1978" t="str">
            <v>Filet de manutention</v>
          </cell>
          <cell r="D1978" t="str">
            <v xml:space="preserve">Filet de Manutention 5x5ml (Levage 3T) </v>
          </cell>
        </row>
        <row r="1979">
          <cell r="A1979" t="str">
            <v>MCBE0344</v>
          </cell>
          <cell r="B1979" t="str">
            <v>Sécurité</v>
          </cell>
          <cell r="C1979" t="str">
            <v>Filet de manutention</v>
          </cell>
          <cell r="D1979" t="str">
            <v>Filet de Manutention 6x6ml (Levage 3T)</v>
          </cell>
        </row>
        <row r="1980">
          <cell r="A1980" t="str">
            <v>MCBE0344</v>
          </cell>
          <cell r="B1980" t="str">
            <v>Sécurité</v>
          </cell>
          <cell r="C1980" t="str">
            <v>Filet de manutention</v>
          </cell>
          <cell r="D1980" t="str">
            <v>Filet de Manutention 6x6ml (Levage 3T)</v>
          </cell>
        </row>
        <row r="1981">
          <cell r="A1981" t="str">
            <v>MCBE0344</v>
          </cell>
          <cell r="B1981" t="str">
            <v>Sécurité</v>
          </cell>
          <cell r="C1981" t="str">
            <v>Filet de manutention</v>
          </cell>
          <cell r="D1981" t="str">
            <v>Filet de Manutention 6x6ml (Levage 3T)</v>
          </cell>
        </row>
        <row r="1982">
          <cell r="A1982" t="str">
            <v>MCBE0344</v>
          </cell>
          <cell r="B1982" t="str">
            <v>Sécurité</v>
          </cell>
          <cell r="C1982" t="str">
            <v>Filet de manutention</v>
          </cell>
          <cell r="D1982" t="str">
            <v>Filet de Manutention 6x6ml (Levage 3T)</v>
          </cell>
        </row>
        <row r="1983">
          <cell r="A1983" t="str">
            <v>MCBE0345</v>
          </cell>
          <cell r="B1983" t="str">
            <v>Sécurité</v>
          </cell>
          <cell r="C1983" t="str">
            <v>Filet de manutention</v>
          </cell>
          <cell r="D1983" t="str">
            <v xml:space="preserve">Filet de Manutention 8x8ml (Levage 3T) </v>
          </cell>
        </row>
        <row r="1984">
          <cell r="A1984" t="str">
            <v>MCBE0345</v>
          </cell>
          <cell r="B1984" t="str">
            <v>Sécurité</v>
          </cell>
          <cell r="C1984" t="str">
            <v>Filet de manutention</v>
          </cell>
          <cell r="D1984" t="str">
            <v xml:space="preserve">Filet de Manutention 8x8ml (Levage 3T) </v>
          </cell>
        </row>
        <row r="1985">
          <cell r="A1985" t="str">
            <v>MCBE0345</v>
          </cell>
          <cell r="B1985" t="str">
            <v>Sécurité</v>
          </cell>
          <cell r="C1985" t="str">
            <v>Filet de manutention</v>
          </cell>
          <cell r="D1985" t="str">
            <v xml:space="preserve">Filet de Manutention 8x8ml (Levage 3T) </v>
          </cell>
        </row>
        <row r="1986">
          <cell r="A1986" t="str">
            <v>MCBE0345</v>
          </cell>
          <cell r="B1986" t="str">
            <v>Sécurité</v>
          </cell>
          <cell r="C1986" t="str">
            <v>Filet de manutention</v>
          </cell>
          <cell r="D1986" t="str">
            <v xml:space="preserve">Filet de Manutention 8x8ml (Levage 3T) </v>
          </cell>
        </row>
        <row r="1987">
          <cell r="A1987" t="str">
            <v>MCBE0346</v>
          </cell>
          <cell r="B1987" t="str">
            <v>Sécurité</v>
          </cell>
          <cell r="C1987" t="str">
            <v>Filet de manutention</v>
          </cell>
          <cell r="D1987" t="str">
            <v xml:space="preserve">Filet de Manutention 10x10ml (Levage 3T) </v>
          </cell>
        </row>
        <row r="1988">
          <cell r="A1988" t="str">
            <v>MCBE0346</v>
          </cell>
          <cell r="B1988" t="str">
            <v>Sécurité</v>
          </cell>
          <cell r="C1988" t="str">
            <v>Filet de manutention</v>
          </cell>
          <cell r="D1988" t="str">
            <v xml:space="preserve">Filet de Manutention 10x10ml (Levage 3T) </v>
          </cell>
        </row>
        <row r="1989">
          <cell r="A1989" t="str">
            <v>MCBE0346</v>
          </cell>
          <cell r="B1989" t="str">
            <v>Sécurité</v>
          </cell>
          <cell r="C1989" t="str">
            <v>Filet de manutention</v>
          </cell>
          <cell r="D1989" t="str">
            <v xml:space="preserve">Filet de Manutention 10x10ml (Levage 3T) </v>
          </cell>
        </row>
        <row r="1990">
          <cell r="A1990" t="str">
            <v>MCBE0346</v>
          </cell>
          <cell r="B1990" t="str">
            <v>Sécurité</v>
          </cell>
          <cell r="C1990" t="str">
            <v>Filet de manutention</v>
          </cell>
          <cell r="D1990" t="str">
            <v xml:space="preserve">Filet de Manutention 10x10ml (Levage 3T) </v>
          </cell>
        </row>
        <row r="1991">
          <cell r="A1991" t="str">
            <v>MCBE0347</v>
          </cell>
          <cell r="B1991" t="str">
            <v>Sécurité</v>
          </cell>
          <cell r="C1991" t="str">
            <v>Elingue</v>
          </cell>
          <cell r="D1991" t="str">
            <v xml:space="preserve">Elingue Sangle 5M 2 BOUCLES CMU = 3T </v>
          </cell>
        </row>
        <row r="1992">
          <cell r="A1992" t="str">
            <v>MCBE0347</v>
          </cell>
          <cell r="B1992" t="str">
            <v>Sécurité</v>
          </cell>
          <cell r="C1992" t="str">
            <v>Elingue</v>
          </cell>
          <cell r="D1992" t="str">
            <v xml:space="preserve">Elingue Sangle 5M 2 BOUCLES CMU = 3T </v>
          </cell>
        </row>
        <row r="1993">
          <cell r="A1993" t="str">
            <v>MCBE0347</v>
          </cell>
          <cell r="B1993" t="str">
            <v>Sécurité</v>
          </cell>
          <cell r="C1993" t="str">
            <v>Elingue</v>
          </cell>
          <cell r="D1993" t="str">
            <v xml:space="preserve">Elingue Sangle 5M 2 BOUCLES CMU = 3T </v>
          </cell>
        </row>
        <row r="1994">
          <cell r="A1994" t="str">
            <v>MCBE0347</v>
          </cell>
          <cell r="B1994" t="str">
            <v>Sécurité</v>
          </cell>
          <cell r="C1994" t="str">
            <v>Elingue</v>
          </cell>
          <cell r="D1994" t="str">
            <v xml:space="preserve">Elingue Sangle 5M 2 BOUCLES CMU = 3T </v>
          </cell>
        </row>
        <row r="1995">
          <cell r="A1995" t="str">
            <v>MCBE0348</v>
          </cell>
          <cell r="B1995" t="str">
            <v>Sécurité</v>
          </cell>
          <cell r="C1995" t="str">
            <v>Elingue</v>
          </cell>
          <cell r="D1995" t="str">
            <v>Elingue Sangle 6M 2 BOUCLES CMU = 3T</v>
          </cell>
        </row>
        <row r="1996">
          <cell r="A1996" t="str">
            <v>MCBE0348</v>
          </cell>
          <cell r="B1996" t="str">
            <v>Sécurité</v>
          </cell>
          <cell r="C1996" t="str">
            <v>Elingue</v>
          </cell>
          <cell r="D1996" t="str">
            <v>Elingue Sangle 6M 2 BOUCLES CMU = 3T</v>
          </cell>
        </row>
        <row r="1997">
          <cell r="A1997" t="str">
            <v>MCBE0348</v>
          </cell>
          <cell r="B1997" t="str">
            <v>Sécurité</v>
          </cell>
          <cell r="C1997" t="str">
            <v>Elingue</v>
          </cell>
          <cell r="D1997" t="str">
            <v>Elingue Sangle 6M 2 BOUCLES CMU = 3T</v>
          </cell>
        </row>
        <row r="1998">
          <cell r="A1998" t="str">
            <v>MCBE0348</v>
          </cell>
          <cell r="B1998" t="str">
            <v>Sécurité</v>
          </cell>
          <cell r="C1998" t="str">
            <v>Elingue</v>
          </cell>
          <cell r="D1998" t="str">
            <v>Elingue Sangle 6M 2 BOUCLES CMU = 3T</v>
          </cell>
        </row>
        <row r="1999">
          <cell r="A1999" t="str">
            <v>MCBE0349</v>
          </cell>
          <cell r="B1999" t="str">
            <v>Sécurité</v>
          </cell>
          <cell r="C1999" t="str">
            <v>Filet périphérique</v>
          </cell>
          <cell r="D1999" t="str">
            <v xml:space="preserve">Filet Périph 10 x 1M D 3mm </v>
          </cell>
        </row>
        <row r="2000">
          <cell r="A2000" t="str">
            <v>MCBE0349</v>
          </cell>
          <cell r="B2000" t="str">
            <v>Sécurité</v>
          </cell>
          <cell r="C2000" t="str">
            <v>Filet périphérique</v>
          </cell>
          <cell r="D2000" t="str">
            <v xml:space="preserve">Filet Périph 10 x 1M D 3mm </v>
          </cell>
        </row>
        <row r="2001">
          <cell r="A2001" t="str">
            <v>MCBE0349</v>
          </cell>
          <cell r="B2001" t="str">
            <v>Sécurité</v>
          </cell>
          <cell r="C2001" t="str">
            <v>Filet périphérique</v>
          </cell>
          <cell r="D2001" t="str">
            <v xml:space="preserve">Filet Périph 10 x 1M D 3mm </v>
          </cell>
        </row>
        <row r="2002">
          <cell r="A2002" t="str">
            <v>MCBE0349</v>
          </cell>
          <cell r="B2002" t="str">
            <v>Sécurité</v>
          </cell>
          <cell r="C2002" t="str">
            <v>Filet périphérique</v>
          </cell>
          <cell r="D2002" t="str">
            <v xml:space="preserve">Filet Périph 10 x 1M D 3mm </v>
          </cell>
        </row>
        <row r="2003">
          <cell r="A2003" t="str">
            <v>MCBE0349</v>
          </cell>
          <cell r="B2003" t="str">
            <v>Sécurité</v>
          </cell>
          <cell r="C2003" t="str">
            <v>Filet périphérique</v>
          </cell>
          <cell r="D2003" t="str">
            <v xml:space="preserve">Filet Périph 10 x 1M D 3mm </v>
          </cell>
        </row>
        <row r="2004">
          <cell r="A2004" t="str">
            <v>MCBE0349</v>
          </cell>
          <cell r="B2004" t="str">
            <v>Sécurité</v>
          </cell>
          <cell r="C2004" t="str">
            <v>Filet périphérique</v>
          </cell>
          <cell r="D2004" t="str">
            <v xml:space="preserve">Filet Périph 10 x 1M D 3mm </v>
          </cell>
        </row>
        <row r="2005">
          <cell r="A2005" t="str">
            <v>MCBE0350</v>
          </cell>
          <cell r="B2005" t="str">
            <v>Sécurité</v>
          </cell>
          <cell r="C2005" t="str">
            <v>Filet périphérique</v>
          </cell>
          <cell r="D2005" t="str">
            <v xml:space="preserve">Filet Périph 20 x 1M D 3mm </v>
          </cell>
        </row>
        <row r="2006">
          <cell r="A2006" t="str">
            <v>MCBE0350</v>
          </cell>
          <cell r="B2006" t="str">
            <v>Sécurité</v>
          </cell>
          <cell r="C2006" t="str">
            <v>Filet périphérique</v>
          </cell>
          <cell r="D2006" t="str">
            <v xml:space="preserve">Filet Périph 20 x 1M D 3mm </v>
          </cell>
        </row>
        <row r="2007">
          <cell r="A2007" t="str">
            <v>MCBE0350</v>
          </cell>
          <cell r="B2007" t="str">
            <v>Sécurité</v>
          </cell>
          <cell r="C2007" t="str">
            <v>Filet périphérique</v>
          </cell>
          <cell r="D2007" t="str">
            <v xml:space="preserve">Filet Périph 20 x 1M D 3mm </v>
          </cell>
        </row>
        <row r="2008">
          <cell r="A2008" t="str">
            <v>MCBE0350</v>
          </cell>
          <cell r="B2008" t="str">
            <v>Sécurité</v>
          </cell>
          <cell r="C2008" t="str">
            <v>Filet périphérique</v>
          </cell>
          <cell r="D2008" t="str">
            <v xml:space="preserve">Filet Périph 20 x 1M D 3mm </v>
          </cell>
        </row>
        <row r="2009">
          <cell r="A2009" t="str">
            <v>MCBE0350</v>
          </cell>
          <cell r="B2009" t="str">
            <v>Sécurité</v>
          </cell>
          <cell r="C2009" t="str">
            <v>Filet périphérique</v>
          </cell>
          <cell r="D2009" t="str">
            <v xml:space="preserve">Filet Périph 20 x 1M D 3mm </v>
          </cell>
        </row>
        <row r="2010">
          <cell r="A2010" t="str">
            <v>MCBE0350</v>
          </cell>
          <cell r="B2010" t="str">
            <v>Sécurité</v>
          </cell>
          <cell r="C2010" t="str">
            <v>Filet périphérique</v>
          </cell>
          <cell r="D2010" t="str">
            <v xml:space="preserve">Filet Périph 20 x 1M D 3mm </v>
          </cell>
        </row>
        <row r="2011">
          <cell r="A2011" t="str">
            <v>MCBE0351</v>
          </cell>
          <cell r="B2011" t="str">
            <v>Sécurité</v>
          </cell>
          <cell r="C2011" t="str">
            <v>Lisse</v>
          </cell>
          <cell r="D2011" t="str">
            <v xml:space="preserve">Lisse GAC Diam34mm Long. 1,625 m Marq NF </v>
          </cell>
        </row>
        <row r="2012">
          <cell r="A2012" t="str">
            <v>MCBE0351</v>
          </cell>
          <cell r="B2012" t="str">
            <v>Sécurité</v>
          </cell>
          <cell r="C2012" t="str">
            <v>Lisse</v>
          </cell>
          <cell r="D2012" t="str">
            <v xml:space="preserve">Lisse GAC Diam34mm Long. 1,625 m Marq NF </v>
          </cell>
        </row>
        <row r="2013">
          <cell r="A2013" t="str">
            <v>MCBE0351</v>
          </cell>
          <cell r="B2013" t="str">
            <v>Sécurité</v>
          </cell>
          <cell r="C2013" t="str">
            <v>Lisse</v>
          </cell>
          <cell r="D2013" t="str">
            <v xml:space="preserve">Lisse GAC Diam34mm Long. 1,625 m Marq NF </v>
          </cell>
        </row>
        <row r="2014">
          <cell r="A2014" t="str">
            <v>MCBE0351</v>
          </cell>
          <cell r="B2014" t="str">
            <v>Sécurité</v>
          </cell>
          <cell r="C2014" t="str">
            <v>Lisse</v>
          </cell>
          <cell r="D2014" t="str">
            <v xml:space="preserve">Lisse GAC Diam34mm Long. 1,625 m Marq NF </v>
          </cell>
        </row>
        <row r="2015">
          <cell r="A2015" t="str">
            <v>MCBE0351</v>
          </cell>
          <cell r="B2015" t="str">
            <v>Sécurité</v>
          </cell>
          <cell r="C2015" t="str">
            <v>Lisse</v>
          </cell>
          <cell r="D2015" t="str">
            <v xml:space="preserve">Lisse GAC Diam34mm Long. 1,625 m Marq NF </v>
          </cell>
        </row>
        <row r="2016">
          <cell r="A2016" t="str">
            <v>MCBE0352</v>
          </cell>
          <cell r="B2016" t="str">
            <v>Sécurité</v>
          </cell>
          <cell r="C2016" t="str">
            <v>Lisse</v>
          </cell>
          <cell r="D2016" t="str">
            <v xml:space="preserve">Lisse GAC Diam34mm Long. 3,250m MarqNF </v>
          </cell>
        </row>
        <row r="2017">
          <cell r="A2017" t="str">
            <v>MCBE0352</v>
          </cell>
          <cell r="B2017" t="str">
            <v>Sécurité</v>
          </cell>
          <cell r="C2017" t="str">
            <v>Lisse</v>
          </cell>
          <cell r="D2017" t="str">
            <v xml:space="preserve">Lisse GAC Diam34mm Long. 3,250m MarqNF </v>
          </cell>
        </row>
        <row r="2018">
          <cell r="A2018" t="str">
            <v>MCBE0352</v>
          </cell>
          <cell r="B2018" t="str">
            <v>Sécurité</v>
          </cell>
          <cell r="C2018" t="str">
            <v>Lisse</v>
          </cell>
          <cell r="D2018" t="str">
            <v xml:space="preserve">Lisse GAC Diam34mm Long. 3,250m MarqNF </v>
          </cell>
        </row>
        <row r="2019">
          <cell r="A2019" t="str">
            <v>MCBE0352</v>
          </cell>
          <cell r="B2019" t="str">
            <v>Sécurité</v>
          </cell>
          <cell r="C2019" t="str">
            <v>Lisse</v>
          </cell>
          <cell r="D2019" t="str">
            <v xml:space="preserve">Lisse GAC Diam34mm Long. 3,250m MarqNF </v>
          </cell>
        </row>
        <row r="2020">
          <cell r="A2020" t="str">
            <v>MCBE0352</v>
          </cell>
          <cell r="B2020" t="str">
            <v>Sécurité</v>
          </cell>
          <cell r="C2020" t="str">
            <v>Lisse</v>
          </cell>
          <cell r="D2020" t="str">
            <v xml:space="preserve">Lisse GAC Diam34mm Long. 3,250m MarqNF </v>
          </cell>
        </row>
        <row r="2021">
          <cell r="A2021" t="str">
            <v>MCBE0353</v>
          </cell>
          <cell r="B2021" t="str">
            <v>Sécurité</v>
          </cell>
          <cell r="C2021" t="str">
            <v>Pince</v>
          </cell>
          <cell r="D2021" t="str">
            <v xml:space="preserve">Pince Révercible GAC sans renfort caoutchouc sur platin non MarqNF </v>
          </cell>
        </row>
        <row r="2022">
          <cell r="A2022" t="str">
            <v>MCBE0353</v>
          </cell>
          <cell r="B2022" t="str">
            <v>Sécurité</v>
          </cell>
          <cell r="C2022" t="str">
            <v>Pince</v>
          </cell>
          <cell r="D2022" t="str">
            <v xml:space="preserve">Pince Révercible GAC sans renfort caoutchouc sur platin non MarqNF </v>
          </cell>
        </row>
        <row r="2023">
          <cell r="A2023" t="str">
            <v>MCBE0353</v>
          </cell>
          <cell r="B2023" t="str">
            <v>Sécurité</v>
          </cell>
          <cell r="C2023" t="str">
            <v>Pince</v>
          </cell>
          <cell r="D2023" t="str">
            <v xml:space="preserve">Pince Révercible GAC sans renfort caoutchouc sur platin non MarqNF </v>
          </cell>
        </row>
        <row r="2024">
          <cell r="A2024" t="str">
            <v>MCBE0353</v>
          </cell>
          <cell r="B2024" t="str">
            <v>Sécurité</v>
          </cell>
          <cell r="C2024" t="str">
            <v>Pince</v>
          </cell>
          <cell r="D2024" t="str">
            <v xml:space="preserve">Pince Révercible GAC sans renfort caoutchouc sur platin non MarqNF </v>
          </cell>
        </row>
        <row r="2025">
          <cell r="A2025" t="str">
            <v>MCBE0353</v>
          </cell>
          <cell r="B2025" t="str">
            <v>Sécurité</v>
          </cell>
          <cell r="C2025" t="str">
            <v>Pince</v>
          </cell>
          <cell r="D2025" t="str">
            <v xml:space="preserve">Pince Révercible GAC sans renfort caoutchouc sur platin non MarqNF </v>
          </cell>
        </row>
        <row r="2026">
          <cell r="A2026" t="str">
            <v>MCBE0354</v>
          </cell>
          <cell r="B2026" t="str">
            <v>Sécurité</v>
          </cell>
          <cell r="C2026" t="str">
            <v>Réservations</v>
          </cell>
          <cell r="D2026" t="str">
            <v xml:space="preserve">Réservation type T GAC ép10mm (2trous) + accroche filet MarqNF </v>
          </cell>
        </row>
        <row r="2027">
          <cell r="A2027" t="str">
            <v>MCBE0354</v>
          </cell>
          <cell r="B2027" t="str">
            <v>Sécurité</v>
          </cell>
          <cell r="C2027" t="str">
            <v>Réservations</v>
          </cell>
          <cell r="D2027" t="str">
            <v xml:space="preserve">Réservation type T GAC ép10mm (2trous) + accroche filet MarqNF </v>
          </cell>
        </row>
        <row r="2028">
          <cell r="A2028" t="str">
            <v>MCBE0354</v>
          </cell>
          <cell r="B2028" t="str">
            <v>Sécurité</v>
          </cell>
          <cell r="C2028" t="str">
            <v>Réservations</v>
          </cell>
          <cell r="D2028" t="str">
            <v xml:space="preserve">Réservation type T GAC ép10mm (2trous) + accroche filet MarqNF </v>
          </cell>
        </row>
        <row r="2029">
          <cell r="A2029" t="str">
            <v>MCBE0354</v>
          </cell>
          <cell r="B2029" t="str">
            <v>Sécurité</v>
          </cell>
          <cell r="C2029" t="str">
            <v>Réservations</v>
          </cell>
          <cell r="D2029" t="str">
            <v xml:space="preserve">Réservation type T GAC ép10mm (2trous) + accroche filet MarqNF </v>
          </cell>
        </row>
        <row r="2030">
          <cell r="A2030" t="str">
            <v>MCBE0354</v>
          </cell>
          <cell r="B2030" t="str">
            <v>Sécurité</v>
          </cell>
          <cell r="C2030" t="str">
            <v>Réservations</v>
          </cell>
          <cell r="D2030" t="str">
            <v xml:space="preserve">Réservation type T GAC ép10mm (2trous) + accroche filet MarqNF </v>
          </cell>
        </row>
        <row r="2031">
          <cell r="A2031" t="str">
            <v>MCBE0355</v>
          </cell>
          <cell r="B2031" t="str">
            <v>Sécurité</v>
          </cell>
          <cell r="C2031" t="str">
            <v>Réservations</v>
          </cell>
          <cell r="D2031" t="str">
            <v xml:space="preserve">Réservation type L GAC ép10mm (2trous) + accroche filet MarqNF </v>
          </cell>
        </row>
        <row r="2032">
          <cell r="A2032" t="str">
            <v>MCBE0355</v>
          </cell>
          <cell r="B2032" t="str">
            <v>Sécurité</v>
          </cell>
          <cell r="C2032" t="str">
            <v>Réservations</v>
          </cell>
          <cell r="D2032" t="str">
            <v xml:space="preserve">Réservation type L GAC ép10mm (2trous) + accroche filet MarqNF </v>
          </cell>
        </row>
        <row r="2033">
          <cell r="A2033" t="str">
            <v>MCBE0355</v>
          </cell>
          <cell r="B2033" t="str">
            <v>Sécurité</v>
          </cell>
          <cell r="C2033" t="str">
            <v>Réservations</v>
          </cell>
          <cell r="D2033" t="str">
            <v xml:space="preserve">Réservation type L GAC ép10mm (2trous) + accroche filet MarqNF </v>
          </cell>
        </row>
        <row r="2034">
          <cell r="A2034" t="str">
            <v>MCBE0355</v>
          </cell>
          <cell r="B2034" t="str">
            <v>Sécurité</v>
          </cell>
          <cell r="C2034" t="str">
            <v>Réservations</v>
          </cell>
          <cell r="D2034" t="str">
            <v xml:space="preserve">Réservation type L GAC ép10mm (2trous) + accroche filet MarqNF </v>
          </cell>
        </row>
        <row r="2035">
          <cell r="A2035" t="str">
            <v>MCBE0355</v>
          </cell>
          <cell r="B2035" t="str">
            <v>Sécurité</v>
          </cell>
          <cell r="C2035" t="str">
            <v>Réservations</v>
          </cell>
          <cell r="D2035" t="str">
            <v xml:space="preserve">Réservation type L GAC ép10mm (2trous) + accroche filet MarqNF </v>
          </cell>
        </row>
        <row r="2036">
          <cell r="A2036" t="str">
            <v>MCBE0356</v>
          </cell>
          <cell r="B2036" t="str">
            <v>Sécurité</v>
          </cell>
          <cell r="C2036" t="str">
            <v>Réservations</v>
          </cell>
          <cell r="D2036" t="str">
            <v xml:space="preserve">Réservation type Z GAC ép10mm long130mm (2 trous) + accroche filet MarqNF </v>
          </cell>
        </row>
        <row r="2037">
          <cell r="A2037" t="str">
            <v>MCBE0356</v>
          </cell>
          <cell r="B2037" t="str">
            <v>Sécurité</v>
          </cell>
          <cell r="C2037" t="str">
            <v>Réservations</v>
          </cell>
          <cell r="D2037" t="str">
            <v xml:space="preserve">Réservation type Z GAC ép10mm long130mm (2 trous) + accroche filet MarqNF </v>
          </cell>
        </row>
        <row r="2038">
          <cell r="A2038" t="str">
            <v>MCBE0356</v>
          </cell>
          <cell r="B2038" t="str">
            <v>Sécurité</v>
          </cell>
          <cell r="C2038" t="str">
            <v>Réservations</v>
          </cell>
          <cell r="D2038" t="str">
            <v xml:space="preserve">Réservation type Z GAC ép10mm long130mm (2 trous) + accroche filet MarqNF </v>
          </cell>
        </row>
        <row r="2039">
          <cell r="A2039" t="str">
            <v>MCBE0356</v>
          </cell>
          <cell r="B2039" t="str">
            <v>Sécurité</v>
          </cell>
          <cell r="C2039" t="str">
            <v>Réservations</v>
          </cell>
          <cell r="D2039" t="str">
            <v xml:space="preserve">Réservation type Z GAC ép10mm long130mm (2 trous) + accroche filet MarqNF </v>
          </cell>
        </row>
        <row r="2040">
          <cell r="A2040" t="str">
            <v>MCBE0356</v>
          </cell>
          <cell r="B2040" t="str">
            <v>Sécurité</v>
          </cell>
          <cell r="C2040" t="str">
            <v>Réservations</v>
          </cell>
          <cell r="D2040" t="str">
            <v xml:space="preserve">Réservation type Z GAC ép10mm long130mm (2 trous) + accroche filet MarqNF </v>
          </cell>
        </row>
        <row r="2041">
          <cell r="A2041" t="str">
            <v>MCBE0357</v>
          </cell>
          <cell r="B2041" t="str">
            <v>Sécurité</v>
          </cell>
          <cell r="C2041" t="str">
            <v>Réservations</v>
          </cell>
          <cell r="D2041" t="str">
            <v xml:space="preserve">Réservation type Z GAC ép10mm long200mm (2 trous) + accroche filet MarqNF </v>
          </cell>
        </row>
        <row r="2042">
          <cell r="A2042" t="str">
            <v>MCBE0357</v>
          </cell>
          <cell r="B2042" t="str">
            <v>Sécurité</v>
          </cell>
          <cell r="C2042" t="str">
            <v>Réservations</v>
          </cell>
          <cell r="D2042" t="str">
            <v xml:space="preserve">Réservation type Z GAC ép10mm long200mm (2 trous) + accroche filet MarqNF </v>
          </cell>
        </row>
        <row r="2043">
          <cell r="A2043" t="str">
            <v>MCBE0357</v>
          </cell>
          <cell r="B2043" t="str">
            <v>Sécurité</v>
          </cell>
          <cell r="C2043" t="str">
            <v>Réservations</v>
          </cell>
          <cell r="D2043" t="str">
            <v xml:space="preserve">Réservation type Z GAC ép10mm long200mm (2 trous) + accroche filet MarqNF </v>
          </cell>
        </row>
        <row r="2044">
          <cell r="A2044" t="str">
            <v>MCBE0357</v>
          </cell>
          <cell r="B2044" t="str">
            <v>Sécurité</v>
          </cell>
          <cell r="C2044" t="str">
            <v>Réservations</v>
          </cell>
          <cell r="D2044" t="str">
            <v xml:space="preserve">Réservation type Z GAC ép10mm long200mm (2 trous) + accroche filet MarqNF </v>
          </cell>
        </row>
        <row r="2045">
          <cell r="A2045" t="str">
            <v>MCBE0357</v>
          </cell>
          <cell r="B2045" t="str">
            <v>Sécurité</v>
          </cell>
          <cell r="C2045" t="str">
            <v>Réservations</v>
          </cell>
          <cell r="D2045" t="str">
            <v xml:space="preserve">Réservation type Z GAC ép10mm long200mm (2 trous) + accroche filet MarqNF </v>
          </cell>
        </row>
        <row r="2046">
          <cell r="A2046" t="str">
            <v>MCBE0358</v>
          </cell>
          <cell r="B2046" t="str">
            <v>Sécurité</v>
          </cell>
          <cell r="C2046" t="str">
            <v>Réservations</v>
          </cell>
          <cell r="D2046" t="str">
            <v xml:space="preserve">Réservation type Z GAC ép10mm long250mm (2 trous) + accroche filet MarqNF </v>
          </cell>
        </row>
        <row r="2047">
          <cell r="A2047" t="str">
            <v>MCBE0358</v>
          </cell>
          <cell r="B2047" t="str">
            <v>Sécurité</v>
          </cell>
          <cell r="C2047" t="str">
            <v>Réservations</v>
          </cell>
          <cell r="D2047" t="str">
            <v xml:space="preserve">Réservation type Z GAC ép10mm long250mm (2 trous) + accroche filet MarqNF </v>
          </cell>
        </row>
        <row r="2048">
          <cell r="A2048" t="str">
            <v>MCBE0358</v>
          </cell>
          <cell r="B2048" t="str">
            <v>Sécurité</v>
          </cell>
          <cell r="C2048" t="str">
            <v>Réservations</v>
          </cell>
          <cell r="D2048" t="str">
            <v xml:space="preserve">Réservation type Z GAC ép10mm long250mm (2 trous) + accroche filet MarqNF </v>
          </cell>
        </row>
        <row r="2049">
          <cell r="A2049" t="str">
            <v>MCBE0358</v>
          </cell>
          <cell r="B2049" t="str">
            <v>Sécurité</v>
          </cell>
          <cell r="C2049" t="str">
            <v>Réservations</v>
          </cell>
          <cell r="D2049" t="str">
            <v xml:space="preserve">Réservation type Z GAC ép10mm long250mm (2 trous) + accroche filet MarqNF </v>
          </cell>
        </row>
        <row r="2050">
          <cell r="A2050" t="str">
            <v>MCBE0359</v>
          </cell>
          <cell r="B2050" t="str">
            <v>Sécurité</v>
          </cell>
          <cell r="C2050" t="str">
            <v>Potelet</v>
          </cell>
          <cell r="D2050" t="str">
            <v>Potelet Carré GAC Bloqueur de Lisse haute, 2 accroches filet V</v>
          </cell>
        </row>
        <row r="2051">
          <cell r="A2051" t="str">
            <v>MCBE0359</v>
          </cell>
          <cell r="B2051" t="str">
            <v>Sécurité</v>
          </cell>
          <cell r="C2051" t="str">
            <v>Potelet</v>
          </cell>
          <cell r="D2051" t="str">
            <v>Potelet Carré GAC Bloqueur de Lisse haute, 2 accroches filet V</v>
          </cell>
        </row>
        <row r="2052">
          <cell r="A2052" t="str">
            <v>MCBE0359</v>
          </cell>
          <cell r="B2052" t="str">
            <v>Sécurité</v>
          </cell>
          <cell r="C2052" t="str">
            <v>Potelet</v>
          </cell>
          <cell r="D2052" t="str">
            <v>Potelet Carré GAC Bloqueur de Lisse haute, 2 accroches filet V</v>
          </cell>
        </row>
        <row r="2053">
          <cell r="A2053" t="str">
            <v>MCBE0359</v>
          </cell>
          <cell r="B2053" t="str">
            <v>Sécurité</v>
          </cell>
          <cell r="C2053" t="str">
            <v>Potelet</v>
          </cell>
          <cell r="D2053" t="str">
            <v>Potelet Carré GAC Bloqueur de Lisse haute, 2 accroches filet V</v>
          </cell>
        </row>
        <row r="2054">
          <cell r="A2054" t="str">
            <v>MCBE0359</v>
          </cell>
          <cell r="B2054" t="str">
            <v>Sécurité</v>
          </cell>
          <cell r="C2054" t="str">
            <v>Potelet</v>
          </cell>
          <cell r="D2054" t="str">
            <v>Potelet Carré GAC Bloqueur de Lisse haute, 2 accroches filet V</v>
          </cell>
        </row>
        <row r="2055">
          <cell r="A2055" t="str">
            <v>MCBE0360</v>
          </cell>
          <cell r="B2055" t="str">
            <v>Sécurité</v>
          </cell>
          <cell r="C2055" t="str">
            <v>Potelet</v>
          </cell>
          <cell r="D2055" t="str">
            <v>Potelet Bac Acier Carré GAC Porte Lisse + Filet</v>
          </cell>
        </row>
        <row r="2056">
          <cell r="A2056" t="str">
            <v>MCBE0360</v>
          </cell>
          <cell r="B2056" t="str">
            <v>Sécurité</v>
          </cell>
          <cell r="C2056" t="str">
            <v>Potelet</v>
          </cell>
          <cell r="D2056" t="str">
            <v>Potelet Bac Acier Carré GAC Porte Lisse + Filet</v>
          </cell>
        </row>
        <row r="2057">
          <cell r="A2057" t="str">
            <v>MCBE0360</v>
          </cell>
          <cell r="B2057" t="str">
            <v>Sécurité</v>
          </cell>
          <cell r="C2057" t="str">
            <v>Potelet</v>
          </cell>
          <cell r="D2057" t="str">
            <v>Potelet Bac Acier Carré GAC Porte Lisse + Filet</v>
          </cell>
        </row>
        <row r="2058">
          <cell r="A2058" t="str">
            <v>MCBE0360</v>
          </cell>
          <cell r="B2058" t="str">
            <v>Sécurité</v>
          </cell>
          <cell r="C2058" t="str">
            <v>Potelet</v>
          </cell>
          <cell r="D2058" t="str">
            <v>Potelet Bac Acier Carré GAC Porte Lisse + Filet</v>
          </cell>
        </row>
        <row r="2059">
          <cell r="A2059" t="str">
            <v>MCBE0361</v>
          </cell>
          <cell r="B2059" t="str">
            <v>Sécurité</v>
          </cell>
          <cell r="C2059" t="str">
            <v>Potelet</v>
          </cell>
          <cell r="D2059" t="str">
            <v xml:space="preserve">Semelle Omega Acier Brut </v>
          </cell>
        </row>
        <row r="2060">
          <cell r="A2060" t="str">
            <v>MCBE0361</v>
          </cell>
          <cell r="B2060" t="str">
            <v>Sécurité</v>
          </cell>
          <cell r="C2060" t="str">
            <v>Potelet</v>
          </cell>
          <cell r="D2060" t="str">
            <v xml:space="preserve">Semelle Omega Acier Brut </v>
          </cell>
        </row>
        <row r="2061">
          <cell r="A2061" t="str">
            <v>MCBE0361</v>
          </cell>
          <cell r="B2061" t="str">
            <v>Sécurité</v>
          </cell>
          <cell r="C2061" t="str">
            <v>Potelet</v>
          </cell>
          <cell r="D2061" t="str">
            <v xml:space="preserve">Semelle Omega Acier Brut </v>
          </cell>
        </row>
        <row r="2062">
          <cell r="A2062" t="str">
            <v>MCBE0361</v>
          </cell>
          <cell r="B2062" t="str">
            <v>Sécurité</v>
          </cell>
          <cell r="C2062" t="str">
            <v>Potelet</v>
          </cell>
          <cell r="D2062" t="str">
            <v xml:space="preserve">Semelle Omega Acier Brut </v>
          </cell>
        </row>
        <row r="2063">
          <cell r="A2063" t="str">
            <v>MCBE0362</v>
          </cell>
          <cell r="B2063" t="str">
            <v>Sécurité</v>
          </cell>
          <cell r="C2063" t="str">
            <v>Potelet</v>
          </cell>
          <cell r="D2063" t="str">
            <v xml:space="preserve">Rallonge pour potelet HT 300 35x30 + Crochet </v>
          </cell>
        </row>
        <row r="2064">
          <cell r="A2064" t="str">
            <v>MCBE0362</v>
          </cell>
          <cell r="B2064" t="str">
            <v>Sécurité</v>
          </cell>
          <cell r="C2064" t="str">
            <v>Potelet</v>
          </cell>
          <cell r="D2064" t="str">
            <v xml:space="preserve">Rallonge pour potelet HT 300 35x30 + Crochet </v>
          </cell>
        </row>
        <row r="2065">
          <cell r="A2065" t="str">
            <v>MCBE0362</v>
          </cell>
          <cell r="B2065" t="str">
            <v>Sécurité</v>
          </cell>
          <cell r="C2065" t="str">
            <v>Potelet</v>
          </cell>
          <cell r="D2065" t="str">
            <v xml:space="preserve">Rallonge pour potelet HT 300 35x30 + Crochet </v>
          </cell>
        </row>
        <row r="2066">
          <cell r="A2066" t="str">
            <v>MCBE0362</v>
          </cell>
          <cell r="B2066" t="str">
            <v>Sécurité</v>
          </cell>
          <cell r="C2066" t="str">
            <v>Potelet</v>
          </cell>
          <cell r="D2066" t="str">
            <v xml:space="preserve">Rallonge pour potelet HT 300 35x30 + Crochet </v>
          </cell>
        </row>
        <row r="2067">
          <cell r="A2067" t="str">
            <v>MCBE0362</v>
          </cell>
          <cell r="B2067" t="str">
            <v>Sécurité</v>
          </cell>
          <cell r="C2067" t="str">
            <v>Potelet</v>
          </cell>
          <cell r="D2067" t="str">
            <v xml:space="preserve">Rallonge pour potelet HT 300 35x30 + Crochet </v>
          </cell>
        </row>
        <row r="2068">
          <cell r="A2068" t="str">
            <v>MCBE0363</v>
          </cell>
          <cell r="B2068" t="str">
            <v>Sécurité</v>
          </cell>
          <cell r="C2068" t="str">
            <v>Potelet</v>
          </cell>
          <cell r="D2068" t="str">
            <v xml:space="preserve">Bi-Ancrage Sécurifix Alu Microbille en 795 </v>
          </cell>
        </row>
        <row r="2069">
          <cell r="A2069" t="str">
            <v>MCBE0363</v>
          </cell>
          <cell r="B2069" t="str">
            <v>Sécurité</v>
          </cell>
          <cell r="C2069" t="str">
            <v>Potelet</v>
          </cell>
          <cell r="D2069" t="str">
            <v xml:space="preserve">Bi-Ancrage Sécurifix Alu Microbille en 795 </v>
          </cell>
        </row>
        <row r="2070">
          <cell r="A2070" t="str">
            <v>MCBE0363</v>
          </cell>
          <cell r="B2070" t="str">
            <v>Sécurité</v>
          </cell>
          <cell r="C2070" t="str">
            <v>Potelet</v>
          </cell>
          <cell r="D2070" t="str">
            <v xml:space="preserve">Bi-Ancrage Sécurifix Alu Microbille en 795 </v>
          </cell>
        </row>
        <row r="2071">
          <cell r="A2071" t="str">
            <v>MCBE0363</v>
          </cell>
          <cell r="B2071" t="str">
            <v>Sécurité</v>
          </cell>
          <cell r="C2071" t="str">
            <v>Potelet</v>
          </cell>
          <cell r="D2071" t="str">
            <v xml:space="preserve">Bi-Ancrage Sécurifix Alu Microbille en 795 </v>
          </cell>
        </row>
        <row r="2072">
          <cell r="A2072" t="str">
            <v>MCBE0364</v>
          </cell>
          <cell r="B2072" t="str">
            <v>Sécurité</v>
          </cell>
          <cell r="C2072" t="str">
            <v>Potelet</v>
          </cell>
          <cell r="D2072" t="str">
            <v xml:space="preserve">Potelet d'Ancrage Galva A Chaud Carré H 500mm P.V. </v>
          </cell>
        </row>
        <row r="2073">
          <cell r="A2073" t="str">
            <v>MCBE0364</v>
          </cell>
          <cell r="B2073" t="str">
            <v>Sécurité</v>
          </cell>
          <cell r="C2073" t="str">
            <v>Potelet</v>
          </cell>
          <cell r="D2073" t="str">
            <v xml:space="preserve">Potelet d'Ancrage Galva A Chaud Carré H 500mm P.V. </v>
          </cell>
        </row>
        <row r="2074">
          <cell r="A2074" t="str">
            <v>MCBE0364</v>
          </cell>
          <cell r="B2074" t="str">
            <v>Sécurité</v>
          </cell>
          <cell r="C2074" t="str">
            <v>Potelet</v>
          </cell>
          <cell r="D2074" t="str">
            <v xml:space="preserve">Potelet d'Ancrage Galva A Chaud Carré H 500mm P.V. </v>
          </cell>
        </row>
        <row r="2075">
          <cell r="A2075" t="str">
            <v>MCBE0364</v>
          </cell>
          <cell r="B2075" t="str">
            <v>Sécurité</v>
          </cell>
          <cell r="C2075" t="str">
            <v>Potelet</v>
          </cell>
          <cell r="D2075" t="str">
            <v xml:space="preserve">Potelet d'Ancrage Galva A Chaud Carré H 500mm P.V. </v>
          </cell>
        </row>
        <row r="2076">
          <cell r="A2076" t="str">
            <v>MCBE0365</v>
          </cell>
          <cell r="B2076" t="str">
            <v>Sécurité</v>
          </cell>
          <cell r="C2076" t="str">
            <v>Potelet</v>
          </cell>
          <cell r="D2076" t="str">
            <v>Potelet d'Ancrage avec Absorbeur d'énergie pour Bac étanché (pvc/bit)</v>
          </cell>
        </row>
        <row r="2077">
          <cell r="A2077" t="str">
            <v>MCBE0365</v>
          </cell>
          <cell r="B2077" t="str">
            <v>Sécurité</v>
          </cell>
          <cell r="C2077" t="str">
            <v>Potelet</v>
          </cell>
          <cell r="D2077" t="str">
            <v>Potelet d'Ancrage avec Absorbeur d'énergie pour Bac étanché (pvc/bit)</v>
          </cell>
        </row>
        <row r="2078">
          <cell r="A2078" t="str">
            <v>MCBE0365</v>
          </cell>
          <cell r="B2078" t="str">
            <v>Sécurité</v>
          </cell>
          <cell r="C2078" t="str">
            <v>Potelet</v>
          </cell>
          <cell r="D2078" t="str">
            <v>Potelet d'Ancrage avec Absorbeur d'énergie pour Bac étanché (pvc/bit)</v>
          </cell>
        </row>
        <row r="2079">
          <cell r="A2079" t="str">
            <v>MCBE0365</v>
          </cell>
          <cell r="B2079" t="str">
            <v>Sécurité</v>
          </cell>
          <cell r="C2079" t="str">
            <v>Potelet</v>
          </cell>
          <cell r="D2079" t="str">
            <v>Potelet d'Ancrage avec Absorbeur d'énergie pour Bac étanché (pvc/bit)</v>
          </cell>
        </row>
        <row r="2080">
          <cell r="A2080" t="str">
            <v>MCBE0366</v>
          </cell>
          <cell r="B2080" t="str">
            <v>Sécurité</v>
          </cell>
          <cell r="C2080" t="str">
            <v>Ancrage</v>
          </cell>
          <cell r="D2080" t="str">
            <v xml:space="preserve">Ancrage Dissipateur pour Bac étanché (pvc/bit) livré avec chevilles à bascule tige 333 </v>
          </cell>
        </row>
        <row r="2081">
          <cell r="A2081" t="str">
            <v>MCBE0366</v>
          </cell>
          <cell r="B2081" t="str">
            <v>Sécurité</v>
          </cell>
          <cell r="C2081" t="str">
            <v>Ancrage</v>
          </cell>
          <cell r="D2081" t="str">
            <v xml:space="preserve">Ancrage Dissipateur pour Bac étanché (pvc/bit) livré avec chevilles à bascule tige 333 </v>
          </cell>
        </row>
        <row r="2082">
          <cell r="A2082" t="str">
            <v>MCBE0366</v>
          </cell>
          <cell r="B2082" t="str">
            <v>Sécurité</v>
          </cell>
          <cell r="C2082" t="str">
            <v>Ancrage</v>
          </cell>
          <cell r="D2082" t="str">
            <v xml:space="preserve">Ancrage Dissipateur pour Bac étanché (pvc/bit) livré avec chevilles à bascule tige 333 </v>
          </cell>
        </row>
        <row r="2083">
          <cell r="A2083" t="str">
            <v>MCBE0366</v>
          </cell>
          <cell r="B2083" t="str">
            <v>Sécurité</v>
          </cell>
          <cell r="C2083" t="str">
            <v>Ancrage</v>
          </cell>
          <cell r="D2083" t="str">
            <v xml:space="preserve">Ancrage Dissipateur pour Bac étanché (pvc/bit) livré avec chevilles à bascule tige 333 </v>
          </cell>
        </row>
        <row r="2084">
          <cell r="A2084" t="str">
            <v>MCBE0367</v>
          </cell>
          <cell r="B2084" t="str">
            <v>Sécurité</v>
          </cell>
          <cell r="C2084" t="str">
            <v>Ancrage</v>
          </cell>
          <cell r="D2084" t="str">
            <v xml:space="preserve">Ancrage Dissipateur pour Bac étanché (pvc/bit) livré avec chevilles à bascule tige 500 </v>
          </cell>
        </row>
        <row r="2085">
          <cell r="A2085" t="str">
            <v>MCBE0367</v>
          </cell>
          <cell r="B2085" t="str">
            <v>Sécurité</v>
          </cell>
          <cell r="C2085" t="str">
            <v>Ancrage</v>
          </cell>
          <cell r="D2085" t="str">
            <v xml:space="preserve">Ancrage Dissipateur pour Bac étanché (pvc/bit) livré avec chevilles à bascule tige 500 </v>
          </cell>
        </row>
        <row r="2086">
          <cell r="A2086" t="str">
            <v>MCBE0367</v>
          </cell>
          <cell r="B2086" t="str">
            <v>Sécurité</v>
          </cell>
          <cell r="C2086" t="str">
            <v>Ancrage</v>
          </cell>
          <cell r="D2086" t="str">
            <v xml:space="preserve">Ancrage Dissipateur pour Bac étanché (pvc/bit) livré avec chevilles à bascule tige 500 </v>
          </cell>
        </row>
        <row r="2087">
          <cell r="A2087" t="str">
            <v>MCBE0367</v>
          </cell>
          <cell r="B2087" t="str">
            <v>Sécurité</v>
          </cell>
          <cell r="C2087" t="str">
            <v>Ancrage</v>
          </cell>
          <cell r="D2087" t="str">
            <v xml:space="preserve">Ancrage Dissipateur pour Bac étanché (pvc/bit) livré avec chevilles à bascule tige 500 </v>
          </cell>
        </row>
        <row r="2088">
          <cell r="A2088" t="str">
            <v>MCBE0368</v>
          </cell>
          <cell r="B2088" t="str">
            <v>Sécurité</v>
          </cell>
          <cell r="C2088" t="str">
            <v>Ancrage</v>
          </cell>
          <cell r="D2088" t="str">
            <v xml:space="preserve">Ancrage Dissipateur Bac Sec et Panneaux sandwich </v>
          </cell>
        </row>
        <row r="2089">
          <cell r="A2089" t="str">
            <v>MCBE0368</v>
          </cell>
          <cell r="B2089" t="str">
            <v>Sécurité</v>
          </cell>
          <cell r="C2089" t="str">
            <v>Ancrage</v>
          </cell>
          <cell r="D2089" t="str">
            <v xml:space="preserve">Ancrage Dissipateur Bac Sec et Panneaux sandwich </v>
          </cell>
        </row>
        <row r="2090">
          <cell r="A2090" t="str">
            <v>MCBE0368</v>
          </cell>
          <cell r="B2090" t="str">
            <v>Sécurité</v>
          </cell>
          <cell r="C2090" t="str">
            <v>Ancrage</v>
          </cell>
          <cell r="D2090" t="str">
            <v xml:space="preserve">Ancrage Dissipateur Bac Sec et Panneaux sandwich </v>
          </cell>
        </row>
        <row r="2091">
          <cell r="A2091" t="str">
            <v>MCBE0368</v>
          </cell>
          <cell r="B2091" t="str">
            <v>Sécurité</v>
          </cell>
          <cell r="C2091" t="str">
            <v>Ancrage</v>
          </cell>
          <cell r="D2091" t="str">
            <v xml:space="preserve">Ancrage Dissipateur Bac Sec et Panneaux sandwich </v>
          </cell>
        </row>
        <row r="2092">
          <cell r="D2092" t="str">
            <v>Evacuation eaux pluviale alu droite diamètre 115- Hauteur 600</v>
          </cell>
        </row>
        <row r="2093">
          <cell r="D2093" t="str">
            <v>Evacuation eaux pluviale alu droite diamètre 130- Hauteur 600</v>
          </cell>
        </row>
        <row r="2094">
          <cell r="D2094" t="str">
            <v>Evacuation eaux pluviale alu droite diamètre 150- Hauteur 600</v>
          </cell>
        </row>
        <row r="2095">
          <cell r="D2095" t="str">
            <v>Evacuation eaux pluviale alu droite diamètre 190- Hauteur 600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zdjerane@ramery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E12E8-9324-4694-8758-EC756D16D216}">
  <sheetPr>
    <tabColor rgb="FFF9DCCF"/>
    <pageSetUpPr fitToPage="1"/>
  </sheetPr>
  <dimension ref="A1:P122"/>
  <sheetViews>
    <sheetView tabSelected="1" zoomScale="80" zoomScaleNormal="80" workbookViewId="0">
      <pane ySplit="7" topLeftCell="A8" activePane="bottomLeft" state="frozen"/>
      <selection pane="bottomLeft"/>
      <selection activeCell="C7" sqref="C7:F7"/>
    </sheetView>
  </sheetViews>
  <sheetFormatPr defaultColWidth="11.42578125" defaultRowHeight="14.45"/>
  <cols>
    <col min="1" max="1" width="20.28515625" style="11" customWidth="1"/>
    <col min="2" max="2" width="12.5703125" style="11" customWidth="1"/>
    <col min="3" max="3" width="34" style="11" customWidth="1"/>
    <col min="4" max="4" width="43.7109375" style="11" customWidth="1"/>
    <col min="5" max="5" width="13" style="11" customWidth="1"/>
    <col min="6" max="6" width="12.140625" style="11" customWidth="1"/>
    <col min="7" max="7" width="49.42578125" style="6" customWidth="1"/>
    <col min="8" max="8" width="75.42578125" style="6" customWidth="1"/>
    <col min="9" max="9" width="19.42578125" style="11" bestFit="1" customWidth="1"/>
    <col min="10" max="10" width="12" style="50" customWidth="1"/>
    <col min="11" max="11" width="8.85546875" style="50" customWidth="1"/>
    <col min="12" max="12" width="11.5703125" style="50" customWidth="1"/>
    <col min="13" max="13" width="10.28515625" style="50" customWidth="1"/>
    <col min="14" max="14" width="10.85546875" style="50" bestFit="1" customWidth="1"/>
    <col min="15" max="15" width="10.7109375" style="72" customWidth="1"/>
    <col min="16" max="16" width="15.85546875" style="45" hidden="1" customWidth="1"/>
  </cols>
  <sheetData>
    <row r="1" spans="1:16" s="1" customFormat="1">
      <c r="A1" s="23" t="s">
        <v>0</v>
      </c>
      <c r="B1" s="41" t="s">
        <v>1</v>
      </c>
      <c r="C1" s="36" t="s">
        <v>2</v>
      </c>
      <c r="D1" s="69" t="s">
        <v>3</v>
      </c>
      <c r="E1" s="12"/>
      <c r="F1" s="64">
        <v>409865144</v>
      </c>
      <c r="G1" s="6"/>
      <c r="H1" s="6"/>
      <c r="I1" s="12"/>
      <c r="J1" s="45"/>
      <c r="K1" s="45"/>
      <c r="L1" s="50"/>
      <c r="M1" s="50"/>
      <c r="N1" s="50"/>
      <c r="O1" s="45"/>
      <c r="P1" s="45"/>
    </row>
    <row r="2" spans="1:16">
      <c r="A2" s="47"/>
      <c r="B2" t="s">
        <v>4</v>
      </c>
      <c r="C2" s="14" t="s">
        <v>5</v>
      </c>
      <c r="D2" s="69" t="s">
        <v>6</v>
      </c>
      <c r="E2" s="12"/>
      <c r="F2" s="44"/>
      <c r="I2" s="12"/>
      <c r="J2" s="45"/>
      <c r="K2" s="45"/>
      <c r="O2" s="45"/>
    </row>
    <row r="3" spans="1:16">
      <c r="A3" s="47"/>
      <c r="B3" t="s">
        <v>7</v>
      </c>
      <c r="C3" s="14" t="s">
        <v>8</v>
      </c>
      <c r="J3" s="45"/>
      <c r="K3" s="45"/>
      <c r="O3" s="45"/>
    </row>
    <row r="4" spans="1:16">
      <c r="A4" s="47"/>
      <c r="B4" t="s">
        <v>9</v>
      </c>
      <c r="C4" s="13">
        <v>46082</v>
      </c>
      <c r="J4" s="45"/>
      <c r="K4" s="45"/>
      <c r="O4" s="45"/>
    </row>
    <row r="5" spans="1:16">
      <c r="A5" s="47"/>
      <c r="B5" t="s">
        <v>10</v>
      </c>
      <c r="C5" s="13">
        <v>46203</v>
      </c>
      <c r="D5" s="74" t="s">
        <v>11</v>
      </c>
      <c r="E5" s="74"/>
      <c r="F5" s="74"/>
      <c r="G5" s="74"/>
      <c r="H5" s="59"/>
      <c r="I5" s="49"/>
      <c r="J5" s="45"/>
      <c r="K5" s="45"/>
      <c r="O5" s="45"/>
    </row>
    <row r="6" spans="1:16">
      <c r="K6" s="46" t="s">
        <v>12</v>
      </c>
      <c r="O6" s="45"/>
    </row>
    <row r="7" spans="1:16" s="7" customFormat="1" ht="39.6" customHeight="1">
      <c r="A7" s="48" t="s">
        <v>13</v>
      </c>
      <c r="B7" s="27" t="s">
        <v>14</v>
      </c>
      <c r="C7" s="27" t="s">
        <v>15</v>
      </c>
      <c r="D7" s="27" t="s">
        <v>16</v>
      </c>
      <c r="E7" s="27" t="s">
        <v>17</v>
      </c>
      <c r="F7" s="27" t="s">
        <v>18</v>
      </c>
      <c r="G7" s="17" t="s">
        <v>19</v>
      </c>
      <c r="H7" s="17" t="s">
        <v>20</v>
      </c>
      <c r="I7" s="27" t="s">
        <v>21</v>
      </c>
      <c r="J7" s="51" t="s">
        <v>22</v>
      </c>
      <c r="K7" s="51" t="s">
        <v>23</v>
      </c>
      <c r="L7" s="52" t="s">
        <v>24</v>
      </c>
      <c r="M7" s="75" t="s">
        <v>25</v>
      </c>
      <c r="N7" s="76"/>
      <c r="O7" s="53" t="s">
        <v>26</v>
      </c>
      <c r="P7" s="54" t="s">
        <v>27</v>
      </c>
    </row>
    <row r="8" spans="1:16">
      <c r="A8" s="10">
        <v>1540</v>
      </c>
      <c r="B8" s="26" t="s">
        <v>28</v>
      </c>
      <c r="C8" s="26" t="s">
        <v>29</v>
      </c>
      <c r="D8" s="10" t="s">
        <v>30</v>
      </c>
      <c r="E8" s="10"/>
      <c r="F8" s="10"/>
      <c r="G8" s="61" t="s">
        <v>31</v>
      </c>
      <c r="H8" s="5" t="s">
        <v>32</v>
      </c>
      <c r="I8" s="10" t="s">
        <v>33</v>
      </c>
      <c r="J8" s="56">
        <v>18.440000000000001</v>
      </c>
      <c r="K8" s="55">
        <v>8.0000000000000004E-4</v>
      </c>
      <c r="L8" s="55">
        <f t="shared" ref="L8:L46" si="0">J8+K8</f>
        <v>18.440800000000003</v>
      </c>
      <c r="M8" s="70">
        <v>1</v>
      </c>
      <c r="N8" s="55" t="s">
        <v>34</v>
      </c>
      <c r="O8" s="70"/>
      <c r="P8" s="56">
        <f>J8/M8</f>
        <v>18.440000000000001</v>
      </c>
    </row>
    <row r="9" spans="1:16">
      <c r="A9" s="10">
        <v>1450</v>
      </c>
      <c r="B9" s="26" t="s">
        <v>35</v>
      </c>
      <c r="C9" s="10" t="s">
        <v>36</v>
      </c>
      <c r="D9" s="10" t="s">
        <v>37</v>
      </c>
      <c r="E9" s="10" t="s">
        <v>38</v>
      </c>
      <c r="F9" s="10"/>
      <c r="G9" s="61" t="s">
        <v>39</v>
      </c>
      <c r="H9" s="5" t="s">
        <v>40</v>
      </c>
      <c r="I9" s="10" t="s">
        <v>41</v>
      </c>
      <c r="J9" s="56">
        <v>16.559999999999999</v>
      </c>
      <c r="K9" s="55">
        <v>9.7999999999999997E-3</v>
      </c>
      <c r="L9" s="55">
        <f t="shared" si="0"/>
        <v>16.569799999999997</v>
      </c>
      <c r="M9" s="70">
        <v>1</v>
      </c>
      <c r="N9" s="55" t="s">
        <v>34</v>
      </c>
      <c r="O9" s="70"/>
      <c r="P9" s="56">
        <f t="shared" ref="P9:P72" si="1">J9/M9</f>
        <v>16.559999999999999</v>
      </c>
    </row>
    <row r="10" spans="1:16">
      <c r="A10" s="10">
        <v>1450</v>
      </c>
      <c r="B10" s="26" t="s">
        <v>42</v>
      </c>
      <c r="C10" s="10" t="s">
        <v>36</v>
      </c>
      <c r="D10" s="10" t="s">
        <v>43</v>
      </c>
      <c r="E10" s="10" t="s">
        <v>38</v>
      </c>
      <c r="F10" s="10"/>
      <c r="G10" s="61" t="s">
        <v>44</v>
      </c>
      <c r="H10" s="5"/>
      <c r="I10" s="10" t="s">
        <v>41</v>
      </c>
      <c r="J10" s="56">
        <v>16.559999999999999</v>
      </c>
      <c r="K10" s="55">
        <v>9.7999999999999997E-3</v>
      </c>
      <c r="L10" s="55">
        <f t="shared" si="0"/>
        <v>16.569799999999997</v>
      </c>
      <c r="M10" s="70">
        <v>1</v>
      </c>
      <c r="N10" s="55" t="s">
        <v>34</v>
      </c>
      <c r="O10" s="70"/>
      <c r="P10" s="56">
        <f t="shared" si="1"/>
        <v>16.559999999999999</v>
      </c>
    </row>
    <row r="11" spans="1:16">
      <c r="A11" s="10">
        <v>1450</v>
      </c>
      <c r="B11" s="26" t="s">
        <v>45</v>
      </c>
      <c r="C11" s="26" t="s">
        <v>46</v>
      </c>
      <c r="D11" s="10" t="s">
        <v>47</v>
      </c>
      <c r="E11" s="10" t="s">
        <v>48</v>
      </c>
      <c r="F11" s="10"/>
      <c r="G11" s="62" t="s">
        <v>49</v>
      </c>
      <c r="H11" s="60" t="s">
        <v>50</v>
      </c>
      <c r="I11" s="10" t="s">
        <v>51</v>
      </c>
      <c r="J11" s="56">
        <v>13.13</v>
      </c>
      <c r="K11" s="55">
        <v>3.8600000000000002E-2</v>
      </c>
      <c r="L11" s="55">
        <f t="shared" si="0"/>
        <v>13.168600000000001</v>
      </c>
      <c r="M11" s="70">
        <v>1</v>
      </c>
      <c r="N11" s="55" t="s">
        <v>34</v>
      </c>
      <c r="O11" s="70"/>
      <c r="P11" s="56">
        <f t="shared" si="1"/>
        <v>13.13</v>
      </c>
    </row>
    <row r="12" spans="1:16">
      <c r="A12" s="10">
        <v>1450</v>
      </c>
      <c r="B12" s="26" t="s">
        <v>52</v>
      </c>
      <c r="C12" s="26" t="s">
        <v>46</v>
      </c>
      <c r="D12" s="10" t="s">
        <v>47</v>
      </c>
      <c r="E12" s="10" t="s">
        <v>48</v>
      </c>
      <c r="F12" s="10"/>
      <c r="G12" s="62" t="s">
        <v>53</v>
      </c>
      <c r="H12" s="60" t="s">
        <v>54</v>
      </c>
      <c r="I12" s="10" t="s">
        <v>55</v>
      </c>
      <c r="J12" s="56">
        <v>13.13</v>
      </c>
      <c r="K12" s="55">
        <v>3.8600000000000002E-2</v>
      </c>
      <c r="L12" s="55">
        <f t="shared" si="0"/>
        <v>13.168600000000001</v>
      </c>
      <c r="M12" s="70">
        <v>1</v>
      </c>
      <c r="N12" s="55" t="s">
        <v>34</v>
      </c>
      <c r="O12" s="70"/>
      <c r="P12" s="56">
        <f t="shared" si="1"/>
        <v>13.13</v>
      </c>
    </row>
    <row r="13" spans="1:16">
      <c r="A13" s="10">
        <v>1450</v>
      </c>
      <c r="B13" s="26" t="s">
        <v>56</v>
      </c>
      <c r="C13" s="26" t="s">
        <v>46</v>
      </c>
      <c r="D13" s="10" t="s">
        <v>47</v>
      </c>
      <c r="E13" s="10" t="s">
        <v>57</v>
      </c>
      <c r="F13" s="10"/>
      <c r="G13" s="61" t="s">
        <v>58</v>
      </c>
      <c r="H13" s="5" t="s">
        <v>59</v>
      </c>
      <c r="I13" s="10" t="s">
        <v>60</v>
      </c>
      <c r="J13" s="56">
        <v>20.100000000000001</v>
      </c>
      <c r="K13" s="55">
        <v>3.09E-2</v>
      </c>
      <c r="L13" s="55">
        <f t="shared" si="0"/>
        <v>20.1309</v>
      </c>
      <c r="M13" s="70">
        <v>1</v>
      </c>
      <c r="N13" s="55" t="s">
        <v>34</v>
      </c>
      <c r="O13" s="70"/>
      <c r="P13" s="56">
        <f t="shared" si="1"/>
        <v>20.100000000000001</v>
      </c>
    </row>
    <row r="14" spans="1:16">
      <c r="A14" s="10">
        <v>1450</v>
      </c>
      <c r="B14" s="26" t="s">
        <v>61</v>
      </c>
      <c r="C14" s="26" t="s">
        <v>46</v>
      </c>
      <c r="D14" s="10" t="s">
        <v>62</v>
      </c>
      <c r="E14" s="10" t="s">
        <v>63</v>
      </c>
      <c r="F14" s="10"/>
      <c r="G14" s="61" t="s">
        <v>64</v>
      </c>
      <c r="H14" s="5" t="s">
        <v>65</v>
      </c>
      <c r="I14" s="10" t="s">
        <v>66</v>
      </c>
      <c r="J14" s="56">
        <v>9.6</v>
      </c>
      <c r="K14" s="55">
        <v>5.0000000000000001E-3</v>
      </c>
      <c r="L14" s="55">
        <f t="shared" si="0"/>
        <v>9.6050000000000004</v>
      </c>
      <c r="M14" s="70">
        <v>1</v>
      </c>
      <c r="N14" s="55" t="s">
        <v>34</v>
      </c>
      <c r="O14" s="70"/>
      <c r="P14" s="56">
        <f t="shared" si="1"/>
        <v>9.6</v>
      </c>
    </row>
    <row r="15" spans="1:16">
      <c r="A15" s="10">
        <v>1540</v>
      </c>
      <c r="B15" s="26" t="s">
        <v>67</v>
      </c>
      <c r="C15" s="10" t="s">
        <v>68</v>
      </c>
      <c r="D15" s="10" t="s">
        <v>69</v>
      </c>
      <c r="E15" s="10"/>
      <c r="F15" s="10"/>
      <c r="G15" s="61" t="s">
        <v>70</v>
      </c>
      <c r="H15" s="5" t="s">
        <v>71</v>
      </c>
      <c r="I15" s="10" t="s">
        <v>72</v>
      </c>
      <c r="J15" s="56">
        <v>1.98</v>
      </c>
      <c r="K15" s="57">
        <v>2.0000000000000001E-4</v>
      </c>
      <c r="L15" s="55">
        <f t="shared" si="0"/>
        <v>1.9802</v>
      </c>
      <c r="M15" s="70">
        <v>1</v>
      </c>
      <c r="N15" s="55" t="s">
        <v>34</v>
      </c>
      <c r="O15" s="70"/>
      <c r="P15" s="56">
        <f t="shared" si="1"/>
        <v>1.98</v>
      </c>
    </row>
    <row r="16" spans="1:16">
      <c r="A16" s="10">
        <v>1540</v>
      </c>
      <c r="B16" s="26" t="s">
        <v>73</v>
      </c>
      <c r="C16" s="10" t="s">
        <v>68</v>
      </c>
      <c r="D16" s="10" t="s">
        <v>69</v>
      </c>
      <c r="E16" s="10"/>
      <c r="F16" s="10"/>
      <c r="G16" s="61" t="s">
        <v>74</v>
      </c>
      <c r="H16" s="5" t="s">
        <v>75</v>
      </c>
      <c r="I16" s="10" t="s">
        <v>76</v>
      </c>
      <c r="J16" s="56">
        <v>1.89</v>
      </c>
      <c r="K16" s="57">
        <v>2.0000000000000001E-4</v>
      </c>
      <c r="L16" s="55">
        <f t="shared" si="0"/>
        <v>1.8901999999999999</v>
      </c>
      <c r="M16" s="70">
        <v>1</v>
      </c>
      <c r="N16" s="55" t="s">
        <v>34</v>
      </c>
      <c r="O16" s="70"/>
      <c r="P16" s="56">
        <f t="shared" si="1"/>
        <v>1.89</v>
      </c>
    </row>
    <row r="17" spans="1:16">
      <c r="A17" s="10">
        <v>1540</v>
      </c>
      <c r="B17" s="26" t="s">
        <v>77</v>
      </c>
      <c r="C17" s="10" t="s">
        <v>68</v>
      </c>
      <c r="D17" s="10" t="s">
        <v>69</v>
      </c>
      <c r="E17" s="10"/>
      <c r="F17" s="10"/>
      <c r="G17" s="61" t="s">
        <v>78</v>
      </c>
      <c r="H17" s="5" t="s">
        <v>79</v>
      </c>
      <c r="I17" s="10" t="s">
        <v>80</v>
      </c>
      <c r="J17" s="56">
        <v>2.46</v>
      </c>
      <c r="K17" s="57">
        <v>2.0000000000000001E-4</v>
      </c>
      <c r="L17" s="55">
        <f t="shared" si="0"/>
        <v>2.4601999999999999</v>
      </c>
      <c r="M17" s="70">
        <v>1</v>
      </c>
      <c r="N17" s="55" t="s">
        <v>34</v>
      </c>
      <c r="O17" s="70"/>
      <c r="P17" s="56">
        <f t="shared" si="1"/>
        <v>2.46</v>
      </c>
    </row>
    <row r="18" spans="1:16">
      <c r="A18" s="10">
        <v>1540</v>
      </c>
      <c r="B18" s="26" t="s">
        <v>81</v>
      </c>
      <c r="C18" s="10" t="s">
        <v>68</v>
      </c>
      <c r="D18" s="10" t="s">
        <v>69</v>
      </c>
      <c r="E18" s="10"/>
      <c r="F18" s="10"/>
      <c r="G18" s="61" t="s">
        <v>82</v>
      </c>
      <c r="H18" s="5" t="s">
        <v>83</v>
      </c>
      <c r="I18" s="10" t="s">
        <v>84</v>
      </c>
      <c r="J18" s="56">
        <v>2.38</v>
      </c>
      <c r="K18" s="57">
        <v>2.0000000000000001E-4</v>
      </c>
      <c r="L18" s="55">
        <f t="shared" si="0"/>
        <v>2.3801999999999999</v>
      </c>
      <c r="M18" s="70">
        <v>1</v>
      </c>
      <c r="N18" s="55" t="s">
        <v>34</v>
      </c>
      <c r="O18" s="70"/>
      <c r="P18" s="56">
        <f t="shared" si="1"/>
        <v>2.38</v>
      </c>
    </row>
    <row r="19" spans="1:16">
      <c r="A19" s="10">
        <v>1450</v>
      </c>
      <c r="B19" s="26" t="s">
        <v>85</v>
      </c>
      <c r="C19" s="10" t="s">
        <v>86</v>
      </c>
      <c r="D19" s="10" t="s">
        <v>87</v>
      </c>
      <c r="E19" s="10"/>
      <c r="F19" s="10"/>
      <c r="G19" s="61" t="s">
        <v>88</v>
      </c>
      <c r="H19" s="5" t="s">
        <v>89</v>
      </c>
      <c r="I19" s="10" t="s">
        <v>90</v>
      </c>
      <c r="J19" s="56">
        <v>56.7</v>
      </c>
      <c r="K19" s="55">
        <v>0</v>
      </c>
      <c r="L19" s="55">
        <f t="shared" si="0"/>
        <v>56.7</v>
      </c>
      <c r="M19" s="70">
        <v>1</v>
      </c>
      <c r="N19" s="55" t="s">
        <v>34</v>
      </c>
      <c r="O19" s="70"/>
      <c r="P19" s="56">
        <f t="shared" si="1"/>
        <v>56.7</v>
      </c>
    </row>
    <row r="20" spans="1:16">
      <c r="A20" s="10">
        <v>1540</v>
      </c>
      <c r="B20" s="26" t="s">
        <v>91</v>
      </c>
      <c r="C20" s="10" t="s">
        <v>92</v>
      </c>
      <c r="D20" s="10" t="s">
        <v>93</v>
      </c>
      <c r="E20" s="10"/>
      <c r="F20" s="10"/>
      <c r="G20" s="61" t="s">
        <v>94</v>
      </c>
      <c r="H20" s="5" t="s">
        <v>95</v>
      </c>
      <c r="I20" s="10" t="s">
        <v>96</v>
      </c>
      <c r="J20" s="56">
        <v>4.47</v>
      </c>
      <c r="K20" s="55">
        <v>2.0000000000000001E-4</v>
      </c>
      <c r="L20" s="55">
        <f t="shared" si="0"/>
        <v>4.4702000000000002</v>
      </c>
      <c r="M20" s="70">
        <v>1</v>
      </c>
      <c r="N20" s="55" t="s">
        <v>34</v>
      </c>
      <c r="O20" s="70"/>
      <c r="P20" s="56">
        <f t="shared" si="1"/>
        <v>4.47</v>
      </c>
    </row>
    <row r="21" spans="1:16">
      <c r="A21" s="10">
        <v>1540</v>
      </c>
      <c r="B21" s="26" t="s">
        <v>97</v>
      </c>
      <c r="C21" s="10" t="s">
        <v>92</v>
      </c>
      <c r="D21" s="10" t="s">
        <v>98</v>
      </c>
      <c r="E21" s="10"/>
      <c r="F21" s="10"/>
      <c r="G21" s="61" t="s">
        <v>99</v>
      </c>
      <c r="H21" s="5" t="s">
        <v>100</v>
      </c>
      <c r="I21" s="10" t="s">
        <v>101</v>
      </c>
      <c r="J21" s="56">
        <v>2.3199999999999998</v>
      </c>
      <c r="K21" s="55">
        <v>1E-4</v>
      </c>
      <c r="L21" s="55">
        <f t="shared" si="0"/>
        <v>2.3201000000000001</v>
      </c>
      <c r="M21" s="70">
        <v>1</v>
      </c>
      <c r="N21" s="55" t="s">
        <v>34</v>
      </c>
      <c r="O21" s="70"/>
      <c r="P21" s="56">
        <f t="shared" si="1"/>
        <v>2.3199999999999998</v>
      </c>
    </row>
    <row r="22" spans="1:16">
      <c r="A22" s="10">
        <v>1540</v>
      </c>
      <c r="B22" s="26" t="s">
        <v>102</v>
      </c>
      <c r="C22" s="10" t="s">
        <v>92</v>
      </c>
      <c r="D22" s="10" t="s">
        <v>103</v>
      </c>
      <c r="E22" s="10"/>
      <c r="F22" s="10"/>
      <c r="G22" s="61" t="s">
        <v>104</v>
      </c>
      <c r="H22" s="5" t="s">
        <v>105</v>
      </c>
      <c r="I22" s="10" t="s">
        <v>106</v>
      </c>
      <c r="J22" s="56">
        <v>20.87</v>
      </c>
      <c r="K22" s="55">
        <v>5.0000000000000001E-4</v>
      </c>
      <c r="L22" s="55">
        <f t="shared" si="0"/>
        <v>20.8705</v>
      </c>
      <c r="M22" s="70">
        <v>1</v>
      </c>
      <c r="N22" s="55" t="s">
        <v>34</v>
      </c>
      <c r="O22" s="70"/>
      <c r="P22" s="56">
        <f t="shared" si="1"/>
        <v>20.87</v>
      </c>
    </row>
    <row r="23" spans="1:16">
      <c r="A23" s="10">
        <v>1540</v>
      </c>
      <c r="B23" s="26" t="s">
        <v>107</v>
      </c>
      <c r="C23" s="10" t="s">
        <v>92</v>
      </c>
      <c r="D23" s="10" t="s">
        <v>108</v>
      </c>
      <c r="E23" s="10"/>
      <c r="F23" s="10"/>
      <c r="G23" s="61" t="s">
        <v>109</v>
      </c>
      <c r="H23" s="5" t="s">
        <v>110</v>
      </c>
      <c r="I23" s="10" t="s">
        <v>111</v>
      </c>
      <c r="J23" s="56">
        <v>22.38</v>
      </c>
      <c r="K23" s="55">
        <v>1.5E-3</v>
      </c>
      <c r="L23" s="55">
        <f t="shared" si="0"/>
        <v>22.381499999999999</v>
      </c>
      <c r="M23" s="70">
        <v>1</v>
      </c>
      <c r="N23" s="55" t="s">
        <v>34</v>
      </c>
      <c r="O23" s="70"/>
      <c r="P23" s="56">
        <f t="shared" si="1"/>
        <v>22.38</v>
      </c>
    </row>
    <row r="24" spans="1:16">
      <c r="A24" s="10">
        <v>1540</v>
      </c>
      <c r="B24" s="26" t="s">
        <v>112</v>
      </c>
      <c r="C24" s="10" t="s">
        <v>92</v>
      </c>
      <c r="D24" s="10" t="s">
        <v>108</v>
      </c>
      <c r="E24" s="10"/>
      <c r="F24" s="10"/>
      <c r="G24" s="61" t="s">
        <v>113</v>
      </c>
      <c r="H24" s="5" t="s">
        <v>114</v>
      </c>
      <c r="I24" s="10" t="s">
        <v>115</v>
      </c>
      <c r="J24" s="56">
        <v>19.59</v>
      </c>
      <c r="K24" s="55">
        <v>8.9999999999999998E-4</v>
      </c>
      <c r="L24" s="55">
        <f t="shared" si="0"/>
        <v>19.590900000000001</v>
      </c>
      <c r="M24" s="70">
        <v>1</v>
      </c>
      <c r="N24" s="55" t="s">
        <v>34</v>
      </c>
      <c r="O24" s="70"/>
      <c r="P24" s="56">
        <f t="shared" si="1"/>
        <v>19.59</v>
      </c>
    </row>
    <row r="25" spans="1:16">
      <c r="A25" s="10">
        <v>1540</v>
      </c>
      <c r="B25" s="26" t="s">
        <v>116</v>
      </c>
      <c r="C25" s="10" t="s">
        <v>92</v>
      </c>
      <c r="D25" s="10" t="s">
        <v>117</v>
      </c>
      <c r="E25" s="10"/>
      <c r="F25" s="10"/>
      <c r="G25" s="61" t="s">
        <v>118</v>
      </c>
      <c r="H25" s="5" t="s">
        <v>119</v>
      </c>
      <c r="I25" s="10" t="s">
        <v>120</v>
      </c>
      <c r="J25" s="56">
        <v>21.42</v>
      </c>
      <c r="K25" s="55">
        <v>0.01</v>
      </c>
      <c r="L25" s="55">
        <f t="shared" si="0"/>
        <v>21.430000000000003</v>
      </c>
      <c r="M25" s="70">
        <v>1</v>
      </c>
      <c r="N25" s="55" t="s">
        <v>34</v>
      </c>
      <c r="O25" s="70"/>
      <c r="P25" s="56">
        <f t="shared" si="1"/>
        <v>21.42</v>
      </c>
    </row>
    <row r="26" spans="1:16">
      <c r="A26" s="10">
        <v>2200</v>
      </c>
      <c r="B26" s="26" t="s">
        <v>121</v>
      </c>
      <c r="C26" s="10" t="s">
        <v>122</v>
      </c>
      <c r="D26" s="10" t="s">
        <v>123</v>
      </c>
      <c r="E26" s="10"/>
      <c r="F26" s="10"/>
      <c r="G26" s="61" t="s">
        <v>124</v>
      </c>
      <c r="H26" s="5" t="s">
        <v>125</v>
      </c>
      <c r="I26" s="10" t="s">
        <v>126</v>
      </c>
      <c r="J26" s="56">
        <v>20.309999999999999</v>
      </c>
      <c r="K26" s="55">
        <v>4.0000000000000002E-4</v>
      </c>
      <c r="L26" s="55">
        <f t="shared" si="0"/>
        <v>20.310399999999998</v>
      </c>
      <c r="M26" s="70">
        <v>1</v>
      </c>
      <c r="N26" s="55" t="s">
        <v>34</v>
      </c>
      <c r="O26" s="70"/>
      <c r="P26" s="56">
        <f t="shared" si="1"/>
        <v>20.309999999999999</v>
      </c>
    </row>
    <row r="27" spans="1:16">
      <c r="A27" s="10">
        <v>1540</v>
      </c>
      <c r="B27" s="26" t="s">
        <v>127</v>
      </c>
      <c r="C27" s="26" t="s">
        <v>29</v>
      </c>
      <c r="D27" s="10" t="s">
        <v>128</v>
      </c>
      <c r="E27" s="10"/>
      <c r="F27" s="10"/>
      <c r="G27" s="61" t="s">
        <v>129</v>
      </c>
      <c r="H27" s="5" t="s">
        <v>130</v>
      </c>
      <c r="I27" s="10" t="s">
        <v>131</v>
      </c>
      <c r="J27" s="55">
        <v>37.1</v>
      </c>
      <c r="K27" s="55">
        <v>2.9999999999999997E-4</v>
      </c>
      <c r="L27" s="55">
        <f t="shared" si="0"/>
        <v>37.100300000000004</v>
      </c>
      <c r="M27" s="70">
        <v>1</v>
      </c>
      <c r="N27" s="55" t="s">
        <v>34</v>
      </c>
      <c r="O27" s="70"/>
      <c r="P27" s="56">
        <f t="shared" si="1"/>
        <v>37.1</v>
      </c>
    </row>
    <row r="28" spans="1:16">
      <c r="A28" s="10">
        <v>1540</v>
      </c>
      <c r="B28" s="26" t="s">
        <v>132</v>
      </c>
      <c r="C28" s="26" t="s">
        <v>29</v>
      </c>
      <c r="D28" s="10" t="s">
        <v>128</v>
      </c>
      <c r="E28" s="10"/>
      <c r="F28" s="10"/>
      <c r="G28" s="61" t="s">
        <v>133</v>
      </c>
      <c r="H28" s="5" t="s">
        <v>134</v>
      </c>
      <c r="I28" s="10" t="s">
        <v>135</v>
      </c>
      <c r="J28" s="55">
        <v>41.23</v>
      </c>
      <c r="K28" s="55">
        <v>4.0000000000000002E-4</v>
      </c>
      <c r="L28" s="55">
        <f t="shared" si="0"/>
        <v>41.230399999999996</v>
      </c>
      <c r="M28" s="70">
        <v>1</v>
      </c>
      <c r="N28" s="55" t="s">
        <v>34</v>
      </c>
      <c r="O28" s="70"/>
      <c r="P28" s="56">
        <f t="shared" si="1"/>
        <v>41.23</v>
      </c>
    </row>
    <row r="29" spans="1:16">
      <c r="A29" s="10">
        <v>1540</v>
      </c>
      <c r="B29" s="26" t="s">
        <v>136</v>
      </c>
      <c r="C29" s="26" t="s">
        <v>29</v>
      </c>
      <c r="D29" s="10" t="s">
        <v>128</v>
      </c>
      <c r="E29" s="10"/>
      <c r="F29" s="10"/>
      <c r="G29" s="61" t="s">
        <v>137</v>
      </c>
      <c r="H29" s="5" t="s">
        <v>138</v>
      </c>
      <c r="I29" s="10" t="s">
        <v>139</v>
      </c>
      <c r="J29" s="55">
        <v>44.94</v>
      </c>
      <c r="K29" s="55">
        <v>5.0000000000000001E-4</v>
      </c>
      <c r="L29" s="55">
        <f t="shared" si="0"/>
        <v>44.9405</v>
      </c>
      <c r="M29" s="70">
        <v>1</v>
      </c>
      <c r="N29" s="55" t="s">
        <v>34</v>
      </c>
      <c r="O29" s="70"/>
      <c r="P29" s="56">
        <f t="shared" si="1"/>
        <v>44.94</v>
      </c>
    </row>
    <row r="30" spans="1:16">
      <c r="A30" s="10">
        <v>1540</v>
      </c>
      <c r="B30" s="26" t="s">
        <v>140</v>
      </c>
      <c r="C30" s="26" t="s">
        <v>29</v>
      </c>
      <c r="D30" s="10" t="s">
        <v>141</v>
      </c>
      <c r="E30" s="10" t="s">
        <v>142</v>
      </c>
      <c r="F30" s="10"/>
      <c r="G30" s="61" t="s">
        <v>143</v>
      </c>
      <c r="H30" s="5" t="s">
        <v>144</v>
      </c>
      <c r="I30" s="10" t="s">
        <v>145</v>
      </c>
      <c r="J30" s="55">
        <v>22.524799999999999</v>
      </c>
      <c r="K30" s="55">
        <v>5.5E-2</v>
      </c>
      <c r="L30" s="55">
        <f t="shared" si="0"/>
        <v>22.579799999999999</v>
      </c>
      <c r="M30" s="70">
        <v>1</v>
      </c>
      <c r="N30" s="55" t="s">
        <v>34</v>
      </c>
      <c r="O30" s="70"/>
      <c r="P30" s="56">
        <f t="shared" si="1"/>
        <v>22.524799999999999</v>
      </c>
    </row>
    <row r="31" spans="1:16">
      <c r="A31" s="10">
        <v>1540</v>
      </c>
      <c r="B31" s="26" t="s">
        <v>146</v>
      </c>
      <c r="C31" s="26" t="s">
        <v>29</v>
      </c>
      <c r="D31" s="10" t="s">
        <v>147</v>
      </c>
      <c r="E31" s="10"/>
      <c r="F31" s="10"/>
      <c r="G31" s="61" t="s">
        <v>148</v>
      </c>
      <c r="H31" s="5" t="s">
        <v>149</v>
      </c>
      <c r="I31" s="10" t="s">
        <v>150</v>
      </c>
      <c r="J31" s="55">
        <v>46.165599999999998</v>
      </c>
      <c r="K31" s="55">
        <v>8.9999999999999998E-4</v>
      </c>
      <c r="L31" s="55">
        <f t="shared" si="0"/>
        <v>46.166499999999999</v>
      </c>
      <c r="M31" s="70">
        <v>1</v>
      </c>
      <c r="N31" s="55" t="s">
        <v>34</v>
      </c>
      <c r="O31" s="70"/>
      <c r="P31" s="56">
        <f t="shared" si="1"/>
        <v>46.165599999999998</v>
      </c>
    </row>
    <row r="32" spans="1:16">
      <c r="A32" s="10">
        <v>1540</v>
      </c>
      <c r="B32" s="26" t="s">
        <v>151</v>
      </c>
      <c r="C32" s="26" t="s">
        <v>29</v>
      </c>
      <c r="D32" s="10" t="s">
        <v>152</v>
      </c>
      <c r="E32" s="10" t="s">
        <v>153</v>
      </c>
      <c r="F32" s="10"/>
      <c r="G32" s="61" t="s">
        <v>154</v>
      </c>
      <c r="H32" s="5" t="s">
        <v>155</v>
      </c>
      <c r="I32" s="10" t="s">
        <v>156</v>
      </c>
      <c r="J32" s="55">
        <v>87.543999999999997</v>
      </c>
      <c r="K32" s="55">
        <v>0.39539999999999997</v>
      </c>
      <c r="L32" s="55">
        <f t="shared" si="0"/>
        <v>87.939399999999992</v>
      </c>
      <c r="M32" s="70">
        <v>1</v>
      </c>
      <c r="N32" s="55" t="s">
        <v>34</v>
      </c>
      <c r="O32" s="70"/>
      <c r="P32" s="56">
        <f t="shared" si="1"/>
        <v>87.543999999999997</v>
      </c>
    </row>
    <row r="33" spans="1:16">
      <c r="A33" s="10">
        <v>2200</v>
      </c>
      <c r="B33" s="26" t="s">
        <v>157</v>
      </c>
      <c r="C33" s="10" t="s">
        <v>158</v>
      </c>
      <c r="D33" s="10" t="s">
        <v>159</v>
      </c>
      <c r="E33" s="10"/>
      <c r="F33" s="10"/>
      <c r="G33" s="62" t="s">
        <v>160</v>
      </c>
      <c r="H33" s="60" t="s">
        <v>161</v>
      </c>
      <c r="I33" s="10" t="s">
        <v>162</v>
      </c>
      <c r="J33" s="55">
        <v>81.349999999999994</v>
      </c>
      <c r="K33" s="55">
        <v>0.65900000000000003</v>
      </c>
      <c r="L33" s="55">
        <f t="shared" si="0"/>
        <v>82.009</v>
      </c>
      <c r="M33" s="70">
        <v>1</v>
      </c>
      <c r="N33" s="55" t="s">
        <v>34</v>
      </c>
      <c r="O33" s="70"/>
      <c r="P33" s="56">
        <f t="shared" si="1"/>
        <v>81.349999999999994</v>
      </c>
    </row>
    <row r="34" spans="1:16">
      <c r="A34" s="10">
        <v>2200</v>
      </c>
      <c r="B34" s="26" t="s">
        <v>163</v>
      </c>
      <c r="C34" s="10" t="s">
        <v>158</v>
      </c>
      <c r="D34" s="10" t="s">
        <v>159</v>
      </c>
      <c r="E34" s="10"/>
      <c r="F34" s="10"/>
      <c r="G34" s="62" t="s">
        <v>164</v>
      </c>
      <c r="H34" s="60" t="s">
        <v>165</v>
      </c>
      <c r="I34" s="10" t="s">
        <v>166</v>
      </c>
      <c r="J34" s="55">
        <v>130.12</v>
      </c>
      <c r="K34" s="55">
        <v>1.0544</v>
      </c>
      <c r="L34" s="55">
        <f t="shared" si="0"/>
        <v>131.17439999999999</v>
      </c>
      <c r="M34" s="70">
        <v>1</v>
      </c>
      <c r="N34" s="55" t="s">
        <v>34</v>
      </c>
      <c r="O34" s="70"/>
      <c r="P34" s="56">
        <f t="shared" si="1"/>
        <v>130.12</v>
      </c>
    </row>
    <row r="35" spans="1:16">
      <c r="A35" s="10">
        <v>2200</v>
      </c>
      <c r="B35" s="26" t="s">
        <v>167</v>
      </c>
      <c r="C35" s="10" t="s">
        <v>158</v>
      </c>
      <c r="D35" s="10" t="s">
        <v>168</v>
      </c>
      <c r="E35" s="10" t="s">
        <v>142</v>
      </c>
      <c r="F35" s="10"/>
      <c r="G35" s="61" t="s">
        <v>169</v>
      </c>
      <c r="H35" s="5" t="s">
        <v>170</v>
      </c>
      <c r="I35" s="10" t="s">
        <v>171</v>
      </c>
      <c r="J35" s="55">
        <v>53.711300000000001</v>
      </c>
      <c r="K35" s="55">
        <v>0.5272</v>
      </c>
      <c r="L35" s="55">
        <f t="shared" si="0"/>
        <v>54.238500000000002</v>
      </c>
      <c r="M35" s="70">
        <v>1</v>
      </c>
      <c r="N35" s="55" t="s">
        <v>172</v>
      </c>
      <c r="O35" s="70"/>
      <c r="P35" s="56">
        <f t="shared" si="1"/>
        <v>53.711300000000001</v>
      </c>
    </row>
    <row r="36" spans="1:16">
      <c r="A36" s="10">
        <v>1540</v>
      </c>
      <c r="B36" s="26" t="s">
        <v>173</v>
      </c>
      <c r="C36" s="10" t="s">
        <v>68</v>
      </c>
      <c r="D36" s="10" t="s">
        <v>174</v>
      </c>
      <c r="E36" s="10"/>
      <c r="F36" s="10"/>
      <c r="G36" s="61" t="s">
        <v>175</v>
      </c>
      <c r="H36" s="5" t="s">
        <v>176</v>
      </c>
      <c r="I36" s="10" t="s">
        <v>177</v>
      </c>
      <c r="J36" s="57">
        <v>13.772</v>
      </c>
      <c r="K36" s="57">
        <v>1.1000000000000001E-3</v>
      </c>
      <c r="L36" s="55">
        <f t="shared" si="0"/>
        <v>13.773099999999999</v>
      </c>
      <c r="M36" s="70">
        <v>1</v>
      </c>
      <c r="N36" s="55" t="s">
        <v>178</v>
      </c>
      <c r="O36" s="70">
        <v>2</v>
      </c>
      <c r="P36" s="56">
        <f t="shared" si="1"/>
        <v>13.772</v>
      </c>
    </row>
    <row r="37" spans="1:16">
      <c r="A37" s="10">
        <v>1540</v>
      </c>
      <c r="B37" s="26" t="s">
        <v>179</v>
      </c>
      <c r="C37" s="10" t="s">
        <v>68</v>
      </c>
      <c r="D37" s="10" t="s">
        <v>180</v>
      </c>
      <c r="E37" s="10"/>
      <c r="F37" s="10"/>
      <c r="G37" s="61" t="s">
        <v>181</v>
      </c>
      <c r="H37" s="5" t="s">
        <v>182</v>
      </c>
      <c r="I37" s="10" t="s">
        <v>183</v>
      </c>
      <c r="J37" s="57">
        <v>6.2202000000000002</v>
      </c>
      <c r="K37" s="57">
        <v>6.9999999999999999E-4</v>
      </c>
      <c r="L37" s="55">
        <f t="shared" si="0"/>
        <v>6.2209000000000003</v>
      </c>
      <c r="M37" s="70">
        <v>1</v>
      </c>
      <c r="N37" s="55" t="s">
        <v>178</v>
      </c>
      <c r="O37" s="70">
        <v>2</v>
      </c>
      <c r="P37" s="56">
        <f t="shared" si="1"/>
        <v>6.2202000000000002</v>
      </c>
    </row>
    <row r="38" spans="1:16">
      <c r="A38" s="10">
        <v>1540</v>
      </c>
      <c r="B38" s="26" t="s">
        <v>184</v>
      </c>
      <c r="C38" s="10" t="s">
        <v>68</v>
      </c>
      <c r="D38" s="10" t="s">
        <v>180</v>
      </c>
      <c r="E38" s="10"/>
      <c r="F38" s="10"/>
      <c r="G38" s="61" t="s">
        <v>185</v>
      </c>
      <c r="H38" s="5" t="s">
        <v>186</v>
      </c>
      <c r="I38" s="10" t="s">
        <v>187</v>
      </c>
      <c r="J38" s="57">
        <v>7.6035000000000004</v>
      </c>
      <c r="K38" s="57">
        <v>6.9999999999999999E-4</v>
      </c>
      <c r="L38" s="55">
        <f t="shared" si="0"/>
        <v>7.6042000000000005</v>
      </c>
      <c r="M38" s="70">
        <v>1</v>
      </c>
      <c r="N38" s="55" t="s">
        <v>178</v>
      </c>
      <c r="O38" s="70">
        <v>2</v>
      </c>
      <c r="P38" s="56">
        <f t="shared" si="1"/>
        <v>7.6035000000000004</v>
      </c>
    </row>
    <row r="39" spans="1:16">
      <c r="A39" s="10">
        <v>1540</v>
      </c>
      <c r="B39" s="26" t="s">
        <v>188</v>
      </c>
      <c r="C39" s="10" t="s">
        <v>68</v>
      </c>
      <c r="D39" s="10" t="s">
        <v>180</v>
      </c>
      <c r="E39" s="10"/>
      <c r="F39" s="10"/>
      <c r="G39" s="61" t="s">
        <v>189</v>
      </c>
      <c r="H39" s="5" t="s">
        <v>190</v>
      </c>
      <c r="I39" s="10" t="s">
        <v>191</v>
      </c>
      <c r="J39" s="57">
        <v>21.664999999999999</v>
      </c>
      <c r="K39" s="57">
        <v>1.1000000000000001E-3</v>
      </c>
      <c r="L39" s="55">
        <f t="shared" si="0"/>
        <v>21.6661</v>
      </c>
      <c r="M39" s="70">
        <v>1</v>
      </c>
      <c r="N39" s="55" t="s">
        <v>178</v>
      </c>
      <c r="O39" s="70">
        <v>2</v>
      </c>
      <c r="P39" s="56">
        <f t="shared" si="1"/>
        <v>21.664999999999999</v>
      </c>
    </row>
    <row r="40" spans="1:16">
      <c r="A40" s="10">
        <v>1540</v>
      </c>
      <c r="B40" s="26" t="s">
        <v>192</v>
      </c>
      <c r="C40" s="10" t="s">
        <v>68</v>
      </c>
      <c r="D40" s="10" t="s">
        <v>193</v>
      </c>
      <c r="E40" s="10"/>
      <c r="F40" s="10"/>
      <c r="G40" s="61" t="s">
        <v>194</v>
      </c>
      <c r="H40" s="5" t="s">
        <v>195</v>
      </c>
      <c r="I40" s="10" t="s">
        <v>196</v>
      </c>
      <c r="J40" s="57">
        <v>10.797599999999999</v>
      </c>
      <c r="K40" s="57">
        <v>8.0000000000000004E-4</v>
      </c>
      <c r="L40" s="55">
        <f t="shared" si="0"/>
        <v>10.798399999999999</v>
      </c>
      <c r="M40" s="70">
        <v>1</v>
      </c>
      <c r="N40" s="55" t="s">
        <v>178</v>
      </c>
      <c r="O40" s="70">
        <v>2</v>
      </c>
      <c r="P40" s="56">
        <f t="shared" si="1"/>
        <v>10.797599999999999</v>
      </c>
    </row>
    <row r="41" spans="1:16">
      <c r="A41" s="10">
        <v>1540</v>
      </c>
      <c r="B41" s="26" t="s">
        <v>197</v>
      </c>
      <c r="C41" s="10" t="s">
        <v>68</v>
      </c>
      <c r="D41" s="10" t="s">
        <v>69</v>
      </c>
      <c r="E41" s="10"/>
      <c r="F41" s="10"/>
      <c r="G41" s="61" t="s">
        <v>198</v>
      </c>
      <c r="H41" s="5" t="s">
        <v>199</v>
      </c>
      <c r="I41" s="10" t="s">
        <v>200</v>
      </c>
      <c r="J41" s="57">
        <v>6.069</v>
      </c>
      <c r="K41" s="57">
        <v>5.0000000000000001E-4</v>
      </c>
      <c r="L41" s="55">
        <f t="shared" si="0"/>
        <v>6.0694999999999997</v>
      </c>
      <c r="M41" s="70">
        <v>1</v>
      </c>
      <c r="N41" s="55" t="s">
        <v>178</v>
      </c>
      <c r="O41" s="70">
        <v>2</v>
      </c>
      <c r="P41" s="56">
        <f t="shared" si="1"/>
        <v>6.069</v>
      </c>
    </row>
    <row r="42" spans="1:16">
      <c r="A42" s="10">
        <v>1540</v>
      </c>
      <c r="B42" s="26" t="s">
        <v>201</v>
      </c>
      <c r="C42" s="10" t="s">
        <v>68</v>
      </c>
      <c r="D42" s="10" t="s">
        <v>69</v>
      </c>
      <c r="E42" s="10"/>
      <c r="F42" s="10"/>
      <c r="G42" s="61" t="s">
        <v>202</v>
      </c>
      <c r="H42" s="5" t="s">
        <v>203</v>
      </c>
      <c r="I42" s="10" t="s">
        <v>204</v>
      </c>
      <c r="J42" s="57">
        <v>3.0628000000000002</v>
      </c>
      <c r="K42" s="57">
        <v>5.0000000000000001E-4</v>
      </c>
      <c r="L42" s="55">
        <f t="shared" si="0"/>
        <v>3.0633000000000004</v>
      </c>
      <c r="M42" s="70">
        <v>1</v>
      </c>
      <c r="N42" s="55" t="s">
        <v>178</v>
      </c>
      <c r="O42" s="70">
        <v>2</v>
      </c>
      <c r="P42" s="56">
        <f t="shared" si="1"/>
        <v>3.0628000000000002</v>
      </c>
    </row>
    <row r="43" spans="1:16">
      <c r="A43" s="10">
        <v>1450</v>
      </c>
      <c r="B43" s="26" t="s">
        <v>205</v>
      </c>
      <c r="C43" s="10" t="s">
        <v>86</v>
      </c>
      <c r="D43" s="10" t="s">
        <v>206</v>
      </c>
      <c r="E43" s="10"/>
      <c r="F43" s="10"/>
      <c r="G43" s="61" t="s">
        <v>207</v>
      </c>
      <c r="H43" s="5" t="s">
        <v>208</v>
      </c>
      <c r="I43" s="10" t="s">
        <v>209</v>
      </c>
      <c r="J43" s="55">
        <v>10.67</v>
      </c>
      <c r="K43" s="55">
        <v>5.7999999999999996E-3</v>
      </c>
      <c r="L43" s="55">
        <f t="shared" si="0"/>
        <v>10.675800000000001</v>
      </c>
      <c r="M43" s="70">
        <v>1</v>
      </c>
      <c r="N43" s="55" t="s">
        <v>34</v>
      </c>
      <c r="O43" s="70"/>
      <c r="P43" s="56">
        <f t="shared" si="1"/>
        <v>10.67</v>
      </c>
    </row>
    <row r="44" spans="1:16">
      <c r="A44" s="10">
        <v>1450</v>
      </c>
      <c r="B44" s="26" t="s">
        <v>210</v>
      </c>
      <c r="C44" s="10" t="s">
        <v>86</v>
      </c>
      <c r="D44" s="10" t="s">
        <v>206</v>
      </c>
      <c r="E44" s="10"/>
      <c r="F44" s="10"/>
      <c r="G44" s="61" t="s">
        <v>211</v>
      </c>
      <c r="H44" s="5" t="s">
        <v>212</v>
      </c>
      <c r="I44" s="10" t="s">
        <v>213</v>
      </c>
      <c r="J44" s="55">
        <v>37.975499999999997</v>
      </c>
      <c r="K44" s="55">
        <v>1.2699999999999999E-2</v>
      </c>
      <c r="L44" s="55">
        <f t="shared" si="0"/>
        <v>37.988199999999999</v>
      </c>
      <c r="M44" s="70">
        <v>1</v>
      </c>
      <c r="N44" s="55" t="s">
        <v>34</v>
      </c>
      <c r="O44" s="70"/>
      <c r="P44" s="56">
        <f t="shared" si="1"/>
        <v>37.975499999999997</v>
      </c>
    </row>
    <row r="45" spans="1:16">
      <c r="A45" s="10">
        <v>1450</v>
      </c>
      <c r="B45" s="26" t="s">
        <v>214</v>
      </c>
      <c r="C45" s="10" t="s">
        <v>86</v>
      </c>
      <c r="D45" s="10" t="s">
        <v>215</v>
      </c>
      <c r="E45" s="10"/>
      <c r="F45" s="10"/>
      <c r="G45" s="61" t="s">
        <v>216</v>
      </c>
      <c r="H45" s="5" t="s">
        <v>217</v>
      </c>
      <c r="I45" s="10" t="s">
        <v>218</v>
      </c>
      <c r="J45" s="55">
        <v>63.8</v>
      </c>
      <c r="K45" s="55">
        <v>0</v>
      </c>
      <c r="L45" s="55">
        <f t="shared" si="0"/>
        <v>63.8</v>
      </c>
      <c r="M45" s="70">
        <v>1</v>
      </c>
      <c r="N45" s="55" t="s">
        <v>34</v>
      </c>
      <c r="O45" s="70"/>
      <c r="P45" s="56">
        <f t="shared" si="1"/>
        <v>63.8</v>
      </c>
    </row>
    <row r="46" spans="1:16">
      <c r="A46" s="10">
        <v>1600</v>
      </c>
      <c r="B46" s="26" t="s">
        <v>219</v>
      </c>
      <c r="C46" s="10" t="s">
        <v>220</v>
      </c>
      <c r="D46" s="10" t="s">
        <v>221</v>
      </c>
      <c r="E46" s="10" t="s">
        <v>222</v>
      </c>
      <c r="F46" s="10">
        <v>10038554</v>
      </c>
      <c r="G46" s="61" t="s">
        <v>223</v>
      </c>
      <c r="H46" s="5" t="s">
        <v>224</v>
      </c>
      <c r="I46" s="10" t="s">
        <v>225</v>
      </c>
      <c r="J46" s="58">
        <v>72.22</v>
      </c>
      <c r="K46" s="55">
        <v>1.0249999999999999</v>
      </c>
      <c r="L46" s="55">
        <f t="shared" si="0"/>
        <v>73.245000000000005</v>
      </c>
      <c r="M46" s="70">
        <v>1</v>
      </c>
      <c r="N46" s="55" t="s">
        <v>34</v>
      </c>
      <c r="O46" s="70"/>
      <c r="P46" s="56">
        <f t="shared" si="1"/>
        <v>72.22</v>
      </c>
    </row>
    <row r="47" spans="1:16">
      <c r="A47" s="10">
        <v>1600</v>
      </c>
      <c r="B47" s="26" t="s">
        <v>226</v>
      </c>
      <c r="C47" s="10" t="s">
        <v>220</v>
      </c>
      <c r="D47" s="10" t="s">
        <v>227</v>
      </c>
      <c r="E47" s="10" t="s">
        <v>222</v>
      </c>
      <c r="F47" s="10">
        <v>20011552</v>
      </c>
      <c r="G47" s="61" t="s">
        <v>228</v>
      </c>
      <c r="H47" s="5" t="s">
        <v>229</v>
      </c>
      <c r="I47" s="10" t="s">
        <v>230</v>
      </c>
      <c r="J47" s="58">
        <v>169.29</v>
      </c>
      <c r="K47" s="55">
        <v>0.58499999999999996</v>
      </c>
      <c r="L47" s="55">
        <f t="shared" ref="L47:L48" si="2">J47+K47</f>
        <v>169.875</v>
      </c>
      <c r="M47" s="70">
        <v>1</v>
      </c>
      <c r="N47" s="55" t="s">
        <v>34</v>
      </c>
      <c r="O47" s="70"/>
      <c r="P47" s="56">
        <f t="shared" si="1"/>
        <v>169.29</v>
      </c>
    </row>
    <row r="48" spans="1:16">
      <c r="A48" s="10">
        <v>1600</v>
      </c>
      <c r="B48" s="26" t="s">
        <v>231</v>
      </c>
      <c r="C48" s="10" t="s">
        <v>220</v>
      </c>
      <c r="D48" s="10" t="s">
        <v>227</v>
      </c>
      <c r="E48" s="10" t="s">
        <v>222</v>
      </c>
      <c r="F48" s="10">
        <v>20011554</v>
      </c>
      <c r="G48" s="61" t="s">
        <v>232</v>
      </c>
      <c r="H48" s="5" t="s">
        <v>233</v>
      </c>
      <c r="I48" s="10" t="s">
        <v>234</v>
      </c>
      <c r="J48" s="73">
        <v>83.17</v>
      </c>
      <c r="K48" s="55">
        <v>0.23400000000000001</v>
      </c>
      <c r="L48" s="55">
        <f t="shared" si="2"/>
        <v>83.403999999999996</v>
      </c>
      <c r="M48" s="70">
        <v>1</v>
      </c>
      <c r="N48" s="55" t="s">
        <v>235</v>
      </c>
      <c r="O48" s="70"/>
      <c r="P48" s="56">
        <f t="shared" si="1"/>
        <v>83.17</v>
      </c>
    </row>
    <row r="49" spans="1:16">
      <c r="A49" s="10">
        <v>1540</v>
      </c>
      <c r="B49" s="26" t="s">
        <v>236</v>
      </c>
      <c r="C49" s="10" t="s">
        <v>92</v>
      </c>
      <c r="D49" s="10" t="s">
        <v>237</v>
      </c>
      <c r="E49" s="10" t="s">
        <v>238</v>
      </c>
      <c r="F49" s="10" t="s">
        <v>239</v>
      </c>
      <c r="G49" s="61" t="s">
        <v>240</v>
      </c>
      <c r="H49" s="5" t="s">
        <v>241</v>
      </c>
      <c r="I49" s="10" t="s">
        <v>242</v>
      </c>
      <c r="J49" s="55" t="s">
        <v>243</v>
      </c>
      <c r="K49" s="55"/>
      <c r="L49" s="55" t="e">
        <f t="shared" ref="L49:L80" si="3">J49+K49</f>
        <v>#VALUE!</v>
      </c>
      <c r="M49" s="70">
        <v>1</v>
      </c>
      <c r="N49" s="55" t="s">
        <v>34</v>
      </c>
      <c r="O49" s="70"/>
      <c r="P49" s="56" t="e">
        <f t="shared" si="1"/>
        <v>#VALUE!</v>
      </c>
    </row>
    <row r="50" spans="1:16">
      <c r="A50" s="10">
        <v>1540</v>
      </c>
      <c r="B50" s="26" t="s">
        <v>244</v>
      </c>
      <c r="C50" s="10" t="s">
        <v>92</v>
      </c>
      <c r="D50" s="10" t="s">
        <v>237</v>
      </c>
      <c r="E50" s="10" t="s">
        <v>238</v>
      </c>
      <c r="F50" s="10" t="s">
        <v>245</v>
      </c>
      <c r="G50" s="61" t="s">
        <v>246</v>
      </c>
      <c r="H50" s="5"/>
      <c r="I50" s="10"/>
      <c r="J50" s="55" t="s">
        <v>243</v>
      </c>
      <c r="K50" s="55"/>
      <c r="L50" s="55" t="e">
        <f t="shared" si="3"/>
        <v>#VALUE!</v>
      </c>
      <c r="M50" s="70">
        <v>1</v>
      </c>
      <c r="N50" s="55" t="s">
        <v>34</v>
      </c>
      <c r="O50" s="70"/>
      <c r="P50" s="56" t="e">
        <f t="shared" si="1"/>
        <v>#VALUE!</v>
      </c>
    </row>
    <row r="51" spans="1:16">
      <c r="A51" s="10">
        <v>1540</v>
      </c>
      <c r="B51" s="26" t="s">
        <v>247</v>
      </c>
      <c r="C51" s="10" t="s">
        <v>92</v>
      </c>
      <c r="D51" s="10" t="s">
        <v>248</v>
      </c>
      <c r="E51" s="10"/>
      <c r="F51" s="10"/>
      <c r="G51" s="61" t="s">
        <v>249</v>
      </c>
      <c r="H51" s="5" t="s">
        <v>250</v>
      </c>
      <c r="I51" s="10" t="s">
        <v>251</v>
      </c>
      <c r="J51" s="57">
        <v>49.103999999999999</v>
      </c>
      <c r="K51" s="55">
        <v>1.1000000000000001E-3</v>
      </c>
      <c r="L51" s="55">
        <f t="shared" si="3"/>
        <v>49.1051</v>
      </c>
      <c r="M51" s="70">
        <v>1</v>
      </c>
      <c r="N51" s="55" t="s">
        <v>34</v>
      </c>
      <c r="O51" s="70"/>
      <c r="P51" s="56">
        <f t="shared" si="1"/>
        <v>49.103999999999999</v>
      </c>
    </row>
    <row r="52" spans="1:16">
      <c r="A52" s="10">
        <v>1540</v>
      </c>
      <c r="B52" s="26" t="s">
        <v>252</v>
      </c>
      <c r="C52" s="10" t="s">
        <v>92</v>
      </c>
      <c r="D52" s="10" t="s">
        <v>248</v>
      </c>
      <c r="E52" s="10"/>
      <c r="F52" s="10"/>
      <c r="G52" s="61" t="s">
        <v>253</v>
      </c>
      <c r="H52" s="5" t="s">
        <v>254</v>
      </c>
      <c r="I52" s="10" t="s">
        <v>255</v>
      </c>
      <c r="J52" s="57">
        <v>49.103999999999999</v>
      </c>
      <c r="K52" s="55">
        <v>1.1000000000000001E-3</v>
      </c>
      <c r="L52" s="55">
        <f t="shared" si="3"/>
        <v>49.1051</v>
      </c>
      <c r="M52" s="70">
        <v>1</v>
      </c>
      <c r="N52" s="55" t="s">
        <v>34</v>
      </c>
      <c r="O52" s="70"/>
      <c r="P52" s="56">
        <f t="shared" si="1"/>
        <v>49.103999999999999</v>
      </c>
    </row>
    <row r="53" spans="1:16">
      <c r="A53" s="10">
        <v>1540</v>
      </c>
      <c r="B53" s="26" t="s">
        <v>256</v>
      </c>
      <c r="C53" s="10" t="s">
        <v>92</v>
      </c>
      <c r="D53" s="10" t="s">
        <v>257</v>
      </c>
      <c r="E53" s="10"/>
      <c r="F53" s="10"/>
      <c r="G53" s="62" t="s">
        <v>258</v>
      </c>
      <c r="H53" s="60" t="s">
        <v>259</v>
      </c>
      <c r="I53" s="10" t="s">
        <v>260</v>
      </c>
      <c r="J53" s="57">
        <v>2.4813999999999998</v>
      </c>
      <c r="K53" s="55">
        <v>2.0000000000000001E-4</v>
      </c>
      <c r="L53" s="55">
        <f t="shared" si="3"/>
        <v>2.4815999999999998</v>
      </c>
      <c r="M53" s="70">
        <v>1</v>
      </c>
      <c r="N53" s="55" t="s">
        <v>34</v>
      </c>
      <c r="O53" s="70"/>
      <c r="P53" s="56">
        <f t="shared" si="1"/>
        <v>2.4813999999999998</v>
      </c>
    </row>
    <row r="54" spans="1:16">
      <c r="A54" s="10">
        <v>1540</v>
      </c>
      <c r="B54" s="26" t="s">
        <v>261</v>
      </c>
      <c r="C54" s="10" t="s">
        <v>92</v>
      </c>
      <c r="D54" s="10" t="s">
        <v>262</v>
      </c>
      <c r="E54" s="10"/>
      <c r="F54" s="10"/>
      <c r="G54" s="62" t="s">
        <v>263</v>
      </c>
      <c r="H54" s="60" t="s">
        <v>264</v>
      </c>
      <c r="I54" s="10" t="s">
        <v>265</v>
      </c>
      <c r="J54" s="57">
        <v>3.2241</v>
      </c>
      <c r="K54" s="57">
        <v>2.0000000000000001E-4</v>
      </c>
      <c r="L54" s="55">
        <f t="shared" si="3"/>
        <v>3.2242999999999999</v>
      </c>
      <c r="M54" s="70">
        <v>1</v>
      </c>
      <c r="N54" s="55" t="s">
        <v>34</v>
      </c>
      <c r="O54" s="70"/>
      <c r="P54" s="56">
        <f t="shared" si="1"/>
        <v>3.2241</v>
      </c>
    </row>
    <row r="55" spans="1:16">
      <c r="A55" s="10">
        <v>1540</v>
      </c>
      <c r="B55" s="26" t="s">
        <v>266</v>
      </c>
      <c r="C55" s="10" t="s">
        <v>92</v>
      </c>
      <c r="D55" s="10" t="s">
        <v>262</v>
      </c>
      <c r="E55" s="10"/>
      <c r="F55" s="10"/>
      <c r="G55" s="62" t="s">
        <v>267</v>
      </c>
      <c r="H55" s="60" t="s">
        <v>268</v>
      </c>
      <c r="I55" s="10" t="s">
        <v>269</v>
      </c>
      <c r="J55" s="57">
        <v>1.0726</v>
      </c>
      <c r="K55" s="55">
        <v>2.0000000000000001E-4</v>
      </c>
      <c r="L55" s="55">
        <f t="shared" si="3"/>
        <v>1.0728</v>
      </c>
      <c r="M55" s="70">
        <v>1</v>
      </c>
      <c r="N55" s="55" t="s">
        <v>34</v>
      </c>
      <c r="O55" s="70"/>
      <c r="P55" s="56">
        <f t="shared" si="1"/>
        <v>1.0726</v>
      </c>
    </row>
    <row r="56" spans="1:16">
      <c r="A56" s="10">
        <v>1540</v>
      </c>
      <c r="B56" s="26" t="s">
        <v>270</v>
      </c>
      <c r="C56" s="10" t="s">
        <v>92</v>
      </c>
      <c r="D56" s="10" t="s">
        <v>262</v>
      </c>
      <c r="E56" s="10"/>
      <c r="F56" s="10"/>
      <c r="G56" s="62" t="s">
        <v>271</v>
      </c>
      <c r="H56" s="60" t="s">
        <v>272</v>
      </c>
      <c r="I56" s="10" t="s">
        <v>273</v>
      </c>
      <c r="J56" s="57">
        <v>1.2707999999999999</v>
      </c>
      <c r="K56" s="55">
        <v>2.0000000000000001E-4</v>
      </c>
      <c r="L56" s="55">
        <f t="shared" si="3"/>
        <v>1.2709999999999999</v>
      </c>
      <c r="M56" s="70">
        <v>1</v>
      </c>
      <c r="N56" s="55" t="s">
        <v>34</v>
      </c>
      <c r="O56" s="70"/>
      <c r="P56" s="56">
        <f t="shared" si="1"/>
        <v>1.2707999999999999</v>
      </c>
    </row>
    <row r="57" spans="1:16">
      <c r="A57" s="10">
        <v>1540</v>
      </c>
      <c r="B57" s="26" t="s">
        <v>274</v>
      </c>
      <c r="C57" s="10" t="s">
        <v>92</v>
      </c>
      <c r="D57" s="10" t="s">
        <v>275</v>
      </c>
      <c r="E57" s="10"/>
      <c r="F57" s="10"/>
      <c r="G57" s="62" t="s">
        <v>276</v>
      </c>
      <c r="H57" s="60" t="s">
        <v>277</v>
      </c>
      <c r="I57" s="10" t="s">
        <v>278</v>
      </c>
      <c r="J57" s="57">
        <v>2.6772999999999998</v>
      </c>
      <c r="K57" s="55">
        <v>2.0000000000000001E-4</v>
      </c>
      <c r="L57" s="55">
        <f t="shared" si="3"/>
        <v>2.6774999999999998</v>
      </c>
      <c r="M57" s="70">
        <v>1</v>
      </c>
      <c r="N57" s="55" t="s">
        <v>34</v>
      </c>
      <c r="O57" s="70"/>
      <c r="P57" s="56">
        <f t="shared" si="1"/>
        <v>2.6772999999999998</v>
      </c>
    </row>
    <row r="58" spans="1:16">
      <c r="A58" s="10">
        <v>1540</v>
      </c>
      <c r="B58" s="26" t="s">
        <v>279</v>
      </c>
      <c r="C58" s="10" t="s">
        <v>92</v>
      </c>
      <c r="D58" s="10" t="s">
        <v>93</v>
      </c>
      <c r="E58" s="10"/>
      <c r="F58" s="10"/>
      <c r="G58" s="61" t="s">
        <v>280</v>
      </c>
      <c r="H58" s="5" t="s">
        <v>281</v>
      </c>
      <c r="I58" s="10" t="s">
        <v>282</v>
      </c>
      <c r="J58" s="57">
        <v>5.8338000000000001</v>
      </c>
      <c r="K58" s="55">
        <v>4.0000000000000002E-4</v>
      </c>
      <c r="L58" s="55">
        <f t="shared" si="3"/>
        <v>5.8342000000000001</v>
      </c>
      <c r="M58" s="70">
        <v>1</v>
      </c>
      <c r="N58" s="55" t="s">
        <v>34</v>
      </c>
      <c r="O58" s="70"/>
      <c r="P58" s="56">
        <f t="shared" si="1"/>
        <v>5.8338000000000001</v>
      </c>
    </row>
    <row r="59" spans="1:16">
      <c r="A59" s="10">
        <v>1540</v>
      </c>
      <c r="B59" s="26" t="s">
        <v>283</v>
      </c>
      <c r="C59" s="10" t="s">
        <v>92</v>
      </c>
      <c r="D59" s="10" t="s">
        <v>93</v>
      </c>
      <c r="E59" s="10"/>
      <c r="F59" s="10"/>
      <c r="G59" s="61" t="s">
        <v>284</v>
      </c>
      <c r="H59" s="5" t="s">
        <v>285</v>
      </c>
      <c r="I59" s="10" t="s">
        <v>286</v>
      </c>
      <c r="J59" s="55">
        <v>11.005800000000001</v>
      </c>
      <c r="K59" s="55">
        <v>5.0000000000000001E-4</v>
      </c>
      <c r="L59" s="55">
        <f t="shared" si="3"/>
        <v>11.006300000000001</v>
      </c>
      <c r="M59" s="70">
        <v>1</v>
      </c>
      <c r="N59" s="55" t="s">
        <v>34</v>
      </c>
      <c r="O59" s="70"/>
      <c r="P59" s="56">
        <f t="shared" si="1"/>
        <v>11.005800000000001</v>
      </c>
    </row>
    <row r="60" spans="1:16">
      <c r="A60" s="10">
        <v>1540</v>
      </c>
      <c r="B60" s="26" t="s">
        <v>287</v>
      </c>
      <c r="C60" s="10" t="s">
        <v>92</v>
      </c>
      <c r="D60" s="10" t="s">
        <v>98</v>
      </c>
      <c r="E60" s="10"/>
      <c r="F60" s="10"/>
      <c r="G60" s="61" t="s">
        <v>288</v>
      </c>
      <c r="H60" s="5" t="s">
        <v>289</v>
      </c>
      <c r="I60" s="10" t="s">
        <v>290</v>
      </c>
      <c r="J60" s="57">
        <v>4.9279999999999999</v>
      </c>
      <c r="K60" s="55">
        <v>8.9999999999999998E-4</v>
      </c>
      <c r="L60" s="55">
        <f t="shared" si="3"/>
        <v>4.9288999999999996</v>
      </c>
      <c r="M60" s="70">
        <v>1</v>
      </c>
      <c r="N60" s="55" t="s">
        <v>34</v>
      </c>
      <c r="O60" s="70"/>
      <c r="P60" s="56">
        <f t="shared" si="1"/>
        <v>4.9279999999999999</v>
      </c>
    </row>
    <row r="61" spans="1:16">
      <c r="A61" s="10">
        <v>1540</v>
      </c>
      <c r="B61" s="26" t="s">
        <v>291</v>
      </c>
      <c r="C61" s="10" t="s">
        <v>92</v>
      </c>
      <c r="D61" s="10" t="s">
        <v>98</v>
      </c>
      <c r="E61" s="10"/>
      <c r="F61" s="10"/>
      <c r="G61" s="61" t="s">
        <v>292</v>
      </c>
      <c r="H61" s="5" t="s">
        <v>293</v>
      </c>
      <c r="I61" s="10" t="s">
        <v>294</v>
      </c>
      <c r="J61" s="57">
        <v>8.8490000000000002</v>
      </c>
      <c r="K61" s="55">
        <v>8.9999999999999998E-4</v>
      </c>
      <c r="L61" s="55">
        <f t="shared" si="3"/>
        <v>8.8498999999999999</v>
      </c>
      <c r="M61" s="70">
        <v>1</v>
      </c>
      <c r="N61" s="55" t="s">
        <v>34</v>
      </c>
      <c r="O61" s="70"/>
      <c r="P61" s="56">
        <f t="shared" si="1"/>
        <v>8.8490000000000002</v>
      </c>
    </row>
    <row r="62" spans="1:16">
      <c r="A62" s="10">
        <v>1540</v>
      </c>
      <c r="B62" s="26" t="s">
        <v>295</v>
      </c>
      <c r="C62" s="10" t="s">
        <v>92</v>
      </c>
      <c r="D62" s="10" t="s">
        <v>296</v>
      </c>
      <c r="E62" s="10" t="s">
        <v>238</v>
      </c>
      <c r="F62" s="10" t="s">
        <v>297</v>
      </c>
      <c r="G62" s="61" t="s">
        <v>298</v>
      </c>
      <c r="H62" s="5" t="s">
        <v>299</v>
      </c>
      <c r="I62" s="10" t="s">
        <v>300</v>
      </c>
      <c r="J62" s="57" t="s">
        <v>243</v>
      </c>
      <c r="K62" s="55"/>
      <c r="L62" s="55" t="e">
        <f t="shared" si="3"/>
        <v>#VALUE!</v>
      </c>
      <c r="M62" s="70">
        <v>1</v>
      </c>
      <c r="N62" s="55" t="s">
        <v>34</v>
      </c>
      <c r="O62" s="70"/>
      <c r="P62" s="56" t="e">
        <f t="shared" si="1"/>
        <v>#VALUE!</v>
      </c>
    </row>
    <row r="63" spans="1:16">
      <c r="A63" s="10">
        <v>1540</v>
      </c>
      <c r="B63" s="26" t="s">
        <v>301</v>
      </c>
      <c r="C63" s="10" t="s">
        <v>92</v>
      </c>
      <c r="D63" s="10" t="s">
        <v>296</v>
      </c>
      <c r="E63" s="10" t="s">
        <v>238</v>
      </c>
      <c r="F63" s="10" t="s">
        <v>302</v>
      </c>
      <c r="G63" s="61" t="s">
        <v>303</v>
      </c>
      <c r="H63" s="5" t="s">
        <v>304</v>
      </c>
      <c r="I63" s="10" t="s">
        <v>305</v>
      </c>
      <c r="J63" s="57" t="s">
        <v>243</v>
      </c>
      <c r="K63" s="55"/>
      <c r="L63" s="55" t="e">
        <f t="shared" si="3"/>
        <v>#VALUE!</v>
      </c>
      <c r="M63" s="70">
        <v>1</v>
      </c>
      <c r="N63" s="55" t="s">
        <v>34</v>
      </c>
      <c r="O63" s="70"/>
      <c r="P63" s="56" t="e">
        <f t="shared" si="1"/>
        <v>#VALUE!</v>
      </c>
    </row>
    <row r="64" spans="1:16">
      <c r="A64" s="10">
        <v>1540</v>
      </c>
      <c r="B64" s="26" t="s">
        <v>306</v>
      </c>
      <c r="C64" s="10" t="s">
        <v>92</v>
      </c>
      <c r="D64" s="10" t="s">
        <v>296</v>
      </c>
      <c r="E64" s="10" t="s">
        <v>238</v>
      </c>
      <c r="F64" s="10" t="s">
        <v>307</v>
      </c>
      <c r="G64" s="61" t="s">
        <v>308</v>
      </c>
      <c r="H64" s="5" t="s">
        <v>309</v>
      </c>
      <c r="I64" s="10" t="s">
        <v>310</v>
      </c>
      <c r="J64" s="57" t="s">
        <v>243</v>
      </c>
      <c r="K64" s="55"/>
      <c r="L64" s="55" t="e">
        <f t="shared" si="3"/>
        <v>#VALUE!</v>
      </c>
      <c r="M64" s="70">
        <v>1</v>
      </c>
      <c r="N64" s="55" t="s">
        <v>34</v>
      </c>
      <c r="O64" s="70"/>
      <c r="P64" s="56" t="e">
        <f t="shared" si="1"/>
        <v>#VALUE!</v>
      </c>
    </row>
    <row r="65" spans="1:16">
      <c r="A65" s="10">
        <v>1540</v>
      </c>
      <c r="B65" s="26" t="s">
        <v>311</v>
      </c>
      <c r="C65" s="10" t="s">
        <v>92</v>
      </c>
      <c r="D65" s="10" t="s">
        <v>296</v>
      </c>
      <c r="E65" s="10" t="s">
        <v>238</v>
      </c>
      <c r="F65" s="10" t="s">
        <v>312</v>
      </c>
      <c r="G65" s="61" t="s">
        <v>313</v>
      </c>
      <c r="H65" s="5" t="s">
        <v>314</v>
      </c>
      <c r="I65" s="10" t="s">
        <v>315</v>
      </c>
      <c r="J65" s="57" t="s">
        <v>243</v>
      </c>
      <c r="K65" s="55"/>
      <c r="L65" s="55" t="e">
        <f t="shared" si="3"/>
        <v>#VALUE!</v>
      </c>
      <c r="M65" s="70">
        <v>1</v>
      </c>
      <c r="N65" s="55" t="s">
        <v>34</v>
      </c>
      <c r="O65" s="70"/>
      <c r="P65" s="56" t="e">
        <f t="shared" si="1"/>
        <v>#VALUE!</v>
      </c>
    </row>
    <row r="66" spans="1:16">
      <c r="A66" s="10">
        <v>1540</v>
      </c>
      <c r="B66" s="26" t="s">
        <v>316</v>
      </c>
      <c r="C66" s="10" t="s">
        <v>92</v>
      </c>
      <c r="D66" s="10" t="s">
        <v>317</v>
      </c>
      <c r="E66" s="10" t="s">
        <v>238</v>
      </c>
      <c r="F66" s="10" t="s">
        <v>318</v>
      </c>
      <c r="G66" s="61" t="s">
        <v>319</v>
      </c>
      <c r="H66" s="5" t="s">
        <v>320</v>
      </c>
      <c r="I66" s="10" t="s">
        <v>321</v>
      </c>
      <c r="J66" s="57" t="s">
        <v>243</v>
      </c>
      <c r="K66" s="55"/>
      <c r="L66" s="55" t="e">
        <f t="shared" si="3"/>
        <v>#VALUE!</v>
      </c>
      <c r="M66" s="70">
        <v>1</v>
      </c>
      <c r="N66" s="55" t="s">
        <v>34</v>
      </c>
      <c r="O66" s="70"/>
      <c r="P66" s="56" t="e">
        <f t="shared" si="1"/>
        <v>#VALUE!</v>
      </c>
    </row>
    <row r="67" spans="1:16">
      <c r="A67" s="10">
        <v>1540</v>
      </c>
      <c r="B67" s="26" t="s">
        <v>322</v>
      </c>
      <c r="C67" s="10" t="s">
        <v>92</v>
      </c>
      <c r="D67" s="10" t="s">
        <v>323</v>
      </c>
      <c r="E67" s="10" t="s">
        <v>238</v>
      </c>
      <c r="F67" s="10" t="s">
        <v>324</v>
      </c>
      <c r="G67" s="61" t="s">
        <v>325</v>
      </c>
      <c r="H67" s="5" t="s">
        <v>326</v>
      </c>
      <c r="I67" s="10" t="s">
        <v>327</v>
      </c>
      <c r="J67" s="57" t="s">
        <v>243</v>
      </c>
      <c r="K67" s="55"/>
      <c r="L67" s="55" t="e">
        <f t="shared" si="3"/>
        <v>#VALUE!</v>
      </c>
      <c r="M67" s="70">
        <v>1</v>
      </c>
      <c r="N67" s="55" t="s">
        <v>34</v>
      </c>
      <c r="O67" s="70"/>
      <c r="P67" s="56" t="e">
        <f t="shared" si="1"/>
        <v>#VALUE!</v>
      </c>
    </row>
    <row r="68" spans="1:16">
      <c r="A68" s="10">
        <v>1540</v>
      </c>
      <c r="B68" s="26" t="s">
        <v>328</v>
      </c>
      <c r="C68" s="10" t="s">
        <v>92</v>
      </c>
      <c r="D68" s="10" t="s">
        <v>329</v>
      </c>
      <c r="E68" s="10"/>
      <c r="F68" s="10"/>
      <c r="G68" s="61" t="s">
        <v>330</v>
      </c>
      <c r="H68" s="5" t="s">
        <v>331</v>
      </c>
      <c r="I68" s="10" t="s">
        <v>332</v>
      </c>
      <c r="J68" s="57">
        <v>0.52800000000000002</v>
      </c>
      <c r="K68" s="55">
        <v>1E-4</v>
      </c>
      <c r="L68" s="55">
        <f t="shared" si="3"/>
        <v>0.52810000000000001</v>
      </c>
      <c r="M68" s="70">
        <v>1</v>
      </c>
      <c r="N68" s="55" t="s">
        <v>34</v>
      </c>
      <c r="O68" s="70"/>
      <c r="P68" s="56">
        <f t="shared" si="1"/>
        <v>0.52800000000000002</v>
      </c>
    </row>
    <row r="69" spans="1:16">
      <c r="A69" s="10">
        <v>1540</v>
      </c>
      <c r="B69" s="26" t="s">
        <v>333</v>
      </c>
      <c r="C69" s="10" t="s">
        <v>92</v>
      </c>
      <c r="D69" s="10" t="s">
        <v>334</v>
      </c>
      <c r="E69" s="10"/>
      <c r="F69" s="10"/>
      <c r="G69" s="61" t="s">
        <v>335</v>
      </c>
      <c r="H69" s="5" t="s">
        <v>336</v>
      </c>
      <c r="I69" s="10" t="s">
        <v>337</v>
      </c>
      <c r="J69" s="57">
        <v>2.1587999999999998</v>
      </c>
      <c r="K69" s="55">
        <v>1E-4</v>
      </c>
      <c r="L69" s="55">
        <f t="shared" si="3"/>
        <v>2.1589</v>
      </c>
      <c r="M69" s="70">
        <v>1</v>
      </c>
      <c r="N69" s="55" t="s">
        <v>34</v>
      </c>
      <c r="O69" s="70"/>
      <c r="P69" s="56">
        <f t="shared" si="1"/>
        <v>2.1587999999999998</v>
      </c>
    </row>
    <row r="70" spans="1:16">
      <c r="A70" s="10">
        <v>1540</v>
      </c>
      <c r="B70" s="26" t="s">
        <v>338</v>
      </c>
      <c r="C70" s="10" t="s">
        <v>92</v>
      </c>
      <c r="D70" s="10" t="s">
        <v>339</v>
      </c>
      <c r="E70" s="10"/>
      <c r="F70" s="10"/>
      <c r="G70" s="61" t="s">
        <v>340</v>
      </c>
      <c r="H70" s="5" t="s">
        <v>341</v>
      </c>
      <c r="I70" s="10" t="s">
        <v>342</v>
      </c>
      <c r="J70" s="57">
        <v>0.752</v>
      </c>
      <c r="K70" s="55">
        <v>2.0000000000000001E-4</v>
      </c>
      <c r="L70" s="55">
        <f t="shared" si="3"/>
        <v>0.75219999999999998</v>
      </c>
      <c r="M70" s="70">
        <v>1</v>
      </c>
      <c r="N70" s="55" t="s">
        <v>34</v>
      </c>
      <c r="O70" s="70"/>
      <c r="P70" s="56">
        <f t="shared" si="1"/>
        <v>0.752</v>
      </c>
    </row>
    <row r="71" spans="1:16">
      <c r="A71" s="10">
        <v>1540</v>
      </c>
      <c r="B71" s="26" t="s">
        <v>343</v>
      </c>
      <c r="C71" s="10" t="s">
        <v>92</v>
      </c>
      <c r="D71" s="10" t="s">
        <v>339</v>
      </c>
      <c r="E71" s="10"/>
      <c r="F71" s="10"/>
      <c r="G71" s="61" t="s">
        <v>344</v>
      </c>
      <c r="H71" s="5" t="s">
        <v>345</v>
      </c>
      <c r="I71" s="10" t="s">
        <v>346</v>
      </c>
      <c r="J71" s="57">
        <v>1.9104000000000001</v>
      </c>
      <c r="K71" s="55">
        <v>2.0000000000000001E-4</v>
      </c>
      <c r="L71" s="55">
        <f t="shared" si="3"/>
        <v>1.9106000000000001</v>
      </c>
      <c r="M71" s="70">
        <v>1</v>
      </c>
      <c r="N71" s="55" t="s">
        <v>34</v>
      </c>
      <c r="O71" s="70"/>
      <c r="P71" s="56">
        <f t="shared" si="1"/>
        <v>1.9104000000000001</v>
      </c>
    </row>
    <row r="72" spans="1:16">
      <c r="A72" s="10">
        <v>1540</v>
      </c>
      <c r="B72" s="26" t="s">
        <v>347</v>
      </c>
      <c r="C72" s="10" t="s">
        <v>92</v>
      </c>
      <c r="D72" s="32" t="s">
        <v>348</v>
      </c>
      <c r="E72" s="32"/>
      <c r="F72" s="10"/>
      <c r="G72" s="61" t="s">
        <v>349</v>
      </c>
      <c r="H72" s="5" t="s">
        <v>350</v>
      </c>
      <c r="I72" s="32" t="s">
        <v>351</v>
      </c>
      <c r="J72" s="57">
        <v>24.8931</v>
      </c>
      <c r="K72" s="55">
        <v>5.9999999999999995E-4</v>
      </c>
      <c r="L72" s="55">
        <f t="shared" si="3"/>
        <v>24.893699999999999</v>
      </c>
      <c r="M72" s="70">
        <v>1</v>
      </c>
      <c r="N72" s="55" t="s">
        <v>34</v>
      </c>
      <c r="O72" s="70"/>
      <c r="P72" s="56">
        <f t="shared" si="1"/>
        <v>24.8931</v>
      </c>
    </row>
    <row r="73" spans="1:16">
      <c r="A73" s="10">
        <v>1540</v>
      </c>
      <c r="B73" s="26" t="s">
        <v>352</v>
      </c>
      <c r="C73" s="10" t="s">
        <v>92</v>
      </c>
      <c r="D73" s="10" t="s">
        <v>353</v>
      </c>
      <c r="E73" s="10"/>
      <c r="F73" s="10"/>
      <c r="G73" s="61" t="s">
        <v>354</v>
      </c>
      <c r="H73" s="5" t="s">
        <v>355</v>
      </c>
      <c r="I73" s="10" t="s">
        <v>356</v>
      </c>
      <c r="J73" s="55">
        <v>30.7803</v>
      </c>
      <c r="K73" s="55">
        <v>7.9000000000000008E-3</v>
      </c>
      <c r="L73" s="55">
        <f t="shared" si="3"/>
        <v>30.7882</v>
      </c>
      <c r="M73" s="70">
        <v>1</v>
      </c>
      <c r="N73" s="55" t="s">
        <v>34</v>
      </c>
      <c r="O73" s="70"/>
      <c r="P73" s="56">
        <f t="shared" ref="P73:P122" si="4">J73/M73</f>
        <v>30.7803</v>
      </c>
    </row>
    <row r="74" spans="1:16">
      <c r="A74" s="10">
        <v>1540</v>
      </c>
      <c r="B74" s="26" t="s">
        <v>357</v>
      </c>
      <c r="C74" s="10" t="s">
        <v>92</v>
      </c>
      <c r="D74" s="10" t="s">
        <v>353</v>
      </c>
      <c r="E74" s="10"/>
      <c r="F74" s="10"/>
      <c r="G74" s="61" t="s">
        <v>358</v>
      </c>
      <c r="H74" s="5" t="s">
        <v>359</v>
      </c>
      <c r="I74" s="10" t="s">
        <v>360</v>
      </c>
      <c r="J74" s="57">
        <v>36.835500000000003</v>
      </c>
      <c r="K74" s="57">
        <v>9.4000000000000004E-3</v>
      </c>
      <c r="L74" s="55">
        <f t="shared" si="3"/>
        <v>36.844900000000003</v>
      </c>
      <c r="M74" s="70">
        <v>1</v>
      </c>
      <c r="N74" s="55" t="s">
        <v>34</v>
      </c>
      <c r="O74" s="70"/>
      <c r="P74" s="56">
        <f t="shared" si="4"/>
        <v>36.835500000000003</v>
      </c>
    </row>
    <row r="75" spans="1:16">
      <c r="A75" s="10">
        <v>1540</v>
      </c>
      <c r="B75" s="26" t="s">
        <v>361</v>
      </c>
      <c r="C75" s="10" t="s">
        <v>92</v>
      </c>
      <c r="D75" s="10" t="s">
        <v>362</v>
      </c>
      <c r="E75" s="10" t="s">
        <v>238</v>
      </c>
      <c r="F75" s="10" t="s">
        <v>363</v>
      </c>
      <c r="G75" s="61" t="s">
        <v>364</v>
      </c>
      <c r="H75" s="5" t="s">
        <v>365</v>
      </c>
      <c r="I75" s="10" t="s">
        <v>366</v>
      </c>
      <c r="J75" s="57" t="s">
        <v>243</v>
      </c>
      <c r="K75" s="57"/>
      <c r="L75" s="55" t="e">
        <f t="shared" si="3"/>
        <v>#VALUE!</v>
      </c>
      <c r="M75" s="70">
        <v>1</v>
      </c>
      <c r="N75" s="55" t="s">
        <v>34</v>
      </c>
      <c r="O75" s="70"/>
      <c r="P75" s="56" t="e">
        <f t="shared" si="4"/>
        <v>#VALUE!</v>
      </c>
    </row>
    <row r="76" spans="1:16">
      <c r="A76" s="10">
        <v>1540</v>
      </c>
      <c r="B76" s="26" t="s">
        <v>367</v>
      </c>
      <c r="C76" s="10" t="s">
        <v>92</v>
      </c>
      <c r="D76" s="10" t="s">
        <v>362</v>
      </c>
      <c r="E76" s="10" t="s">
        <v>238</v>
      </c>
      <c r="F76" s="10" t="s">
        <v>368</v>
      </c>
      <c r="G76" s="61" t="s">
        <v>369</v>
      </c>
      <c r="H76" s="5" t="s">
        <v>370</v>
      </c>
      <c r="I76" s="10" t="s">
        <v>371</v>
      </c>
      <c r="J76" s="57" t="s">
        <v>243</v>
      </c>
      <c r="K76" s="55"/>
      <c r="L76" s="55" t="e">
        <f t="shared" si="3"/>
        <v>#VALUE!</v>
      </c>
      <c r="M76" s="70">
        <v>1</v>
      </c>
      <c r="N76" s="55" t="s">
        <v>34</v>
      </c>
      <c r="O76" s="70"/>
      <c r="P76" s="56" t="e">
        <f t="shared" si="4"/>
        <v>#VALUE!</v>
      </c>
    </row>
    <row r="77" spans="1:16">
      <c r="A77" s="10">
        <v>1540</v>
      </c>
      <c r="B77" s="26" t="s">
        <v>372</v>
      </c>
      <c r="C77" s="10" t="s">
        <v>92</v>
      </c>
      <c r="D77" s="10" t="s">
        <v>362</v>
      </c>
      <c r="E77" s="10" t="s">
        <v>238</v>
      </c>
      <c r="F77" s="10" t="s">
        <v>373</v>
      </c>
      <c r="G77" s="61" t="s">
        <v>374</v>
      </c>
      <c r="H77" s="5" t="s">
        <v>375</v>
      </c>
      <c r="I77" s="10" t="s">
        <v>376</v>
      </c>
      <c r="J77" s="57" t="s">
        <v>243</v>
      </c>
      <c r="K77" s="55"/>
      <c r="L77" s="55" t="e">
        <f t="shared" si="3"/>
        <v>#VALUE!</v>
      </c>
      <c r="M77" s="70">
        <v>1</v>
      </c>
      <c r="N77" s="55" t="s">
        <v>34</v>
      </c>
      <c r="O77" s="70"/>
      <c r="P77" s="56" t="e">
        <f t="shared" si="4"/>
        <v>#VALUE!</v>
      </c>
    </row>
    <row r="78" spans="1:16">
      <c r="A78" s="10">
        <v>1540</v>
      </c>
      <c r="B78" s="26" t="s">
        <v>377</v>
      </c>
      <c r="C78" s="10" t="s">
        <v>92</v>
      </c>
      <c r="D78" s="10" t="s">
        <v>362</v>
      </c>
      <c r="E78" s="10" t="s">
        <v>238</v>
      </c>
      <c r="F78" s="10" t="s">
        <v>378</v>
      </c>
      <c r="G78" s="61" t="s">
        <v>379</v>
      </c>
      <c r="H78" s="5" t="s">
        <v>380</v>
      </c>
      <c r="I78" s="10" t="s">
        <v>381</v>
      </c>
      <c r="J78" s="57" t="s">
        <v>243</v>
      </c>
      <c r="K78" s="55"/>
      <c r="L78" s="55" t="e">
        <f t="shared" si="3"/>
        <v>#VALUE!</v>
      </c>
      <c r="M78" s="70">
        <v>1</v>
      </c>
      <c r="N78" s="55" t="s">
        <v>34</v>
      </c>
      <c r="O78" s="70"/>
      <c r="P78" s="56" t="e">
        <f t="shared" si="4"/>
        <v>#VALUE!</v>
      </c>
    </row>
    <row r="79" spans="1:16">
      <c r="A79" s="10">
        <v>1540</v>
      </c>
      <c r="B79" s="26" t="s">
        <v>382</v>
      </c>
      <c r="C79" s="10" t="s">
        <v>92</v>
      </c>
      <c r="D79" s="10" t="s">
        <v>383</v>
      </c>
      <c r="E79" s="10"/>
      <c r="F79" s="10"/>
      <c r="G79" s="61" t="s">
        <v>384</v>
      </c>
      <c r="H79" s="5" t="s">
        <v>385</v>
      </c>
      <c r="I79" s="10" t="s">
        <v>386</v>
      </c>
      <c r="J79" s="57">
        <v>79.3416</v>
      </c>
      <c r="K79" s="55">
        <v>1.7600000000000001E-2</v>
      </c>
      <c r="L79" s="55">
        <f t="shared" si="3"/>
        <v>79.359200000000001</v>
      </c>
      <c r="M79" s="70">
        <v>1</v>
      </c>
      <c r="N79" s="55" t="s">
        <v>34</v>
      </c>
      <c r="O79" s="70"/>
      <c r="P79" s="56">
        <f t="shared" si="4"/>
        <v>79.3416</v>
      </c>
    </row>
    <row r="80" spans="1:16">
      <c r="A80" s="10">
        <v>1540</v>
      </c>
      <c r="B80" s="26" t="s">
        <v>387</v>
      </c>
      <c r="C80" s="10" t="s">
        <v>92</v>
      </c>
      <c r="D80" s="10" t="s">
        <v>388</v>
      </c>
      <c r="E80" s="10"/>
      <c r="F80" s="10"/>
      <c r="G80" s="61" t="s">
        <v>389</v>
      </c>
      <c r="H80" s="5" t="s">
        <v>390</v>
      </c>
      <c r="I80" s="10" t="s">
        <v>391</v>
      </c>
      <c r="J80" s="55">
        <v>11.895</v>
      </c>
      <c r="K80" s="55">
        <v>1.4E-3</v>
      </c>
      <c r="L80" s="55">
        <f t="shared" si="3"/>
        <v>11.8964</v>
      </c>
      <c r="M80" s="70">
        <v>1</v>
      </c>
      <c r="N80" s="55" t="s">
        <v>178</v>
      </c>
      <c r="O80" s="70">
        <v>4</v>
      </c>
      <c r="P80" s="56">
        <f t="shared" si="4"/>
        <v>11.895</v>
      </c>
    </row>
    <row r="81" spans="1:16">
      <c r="A81" s="10">
        <v>1540</v>
      </c>
      <c r="B81" s="26" t="s">
        <v>392</v>
      </c>
      <c r="C81" s="10" t="s">
        <v>92</v>
      </c>
      <c r="D81" s="10" t="s">
        <v>393</v>
      </c>
      <c r="E81" s="10" t="s">
        <v>238</v>
      </c>
      <c r="F81" s="10" t="s">
        <v>394</v>
      </c>
      <c r="G81" s="61" t="s">
        <v>395</v>
      </c>
      <c r="H81" s="5" t="s">
        <v>396</v>
      </c>
      <c r="I81" s="10" t="s">
        <v>397</v>
      </c>
      <c r="J81" s="57" t="s">
        <v>243</v>
      </c>
      <c r="K81" s="55"/>
      <c r="L81" s="55" t="e">
        <f t="shared" ref="L81:L111" si="5">J81+K81</f>
        <v>#VALUE!</v>
      </c>
      <c r="M81" s="70">
        <v>1</v>
      </c>
      <c r="N81" s="55" t="s">
        <v>34</v>
      </c>
      <c r="O81" s="70"/>
      <c r="P81" s="56" t="e">
        <f t="shared" si="4"/>
        <v>#VALUE!</v>
      </c>
    </row>
    <row r="82" spans="1:16">
      <c r="A82" s="10">
        <v>1540</v>
      </c>
      <c r="B82" s="26" t="s">
        <v>398</v>
      </c>
      <c r="C82" s="10" t="s">
        <v>92</v>
      </c>
      <c r="D82" s="10" t="s">
        <v>393</v>
      </c>
      <c r="E82" s="10" t="s">
        <v>238</v>
      </c>
      <c r="F82" s="10" t="s">
        <v>399</v>
      </c>
      <c r="G82" s="61" t="s">
        <v>400</v>
      </c>
      <c r="H82" s="5" t="s">
        <v>401</v>
      </c>
      <c r="I82" s="10" t="s">
        <v>402</v>
      </c>
      <c r="J82" s="57" t="s">
        <v>243</v>
      </c>
      <c r="K82" s="55"/>
      <c r="L82" s="55" t="e">
        <f t="shared" si="5"/>
        <v>#VALUE!</v>
      </c>
      <c r="M82" s="70">
        <v>1</v>
      </c>
      <c r="N82" s="55" t="s">
        <v>34</v>
      </c>
      <c r="O82" s="70"/>
      <c r="P82" s="56" t="e">
        <f t="shared" si="4"/>
        <v>#VALUE!</v>
      </c>
    </row>
    <row r="83" spans="1:16">
      <c r="A83" s="10">
        <v>1540</v>
      </c>
      <c r="B83" s="26" t="s">
        <v>403</v>
      </c>
      <c r="C83" s="10" t="s">
        <v>92</v>
      </c>
      <c r="D83" s="10" t="s">
        <v>393</v>
      </c>
      <c r="E83" s="10" t="s">
        <v>238</v>
      </c>
      <c r="F83" s="10" t="s">
        <v>404</v>
      </c>
      <c r="G83" s="61" t="s">
        <v>405</v>
      </c>
      <c r="H83" s="5" t="s">
        <v>406</v>
      </c>
      <c r="I83" s="10" t="s">
        <v>407</v>
      </c>
      <c r="J83" s="57" t="s">
        <v>243</v>
      </c>
      <c r="K83" s="55"/>
      <c r="L83" s="55" t="e">
        <f t="shared" si="5"/>
        <v>#VALUE!</v>
      </c>
      <c r="M83" s="70">
        <v>1</v>
      </c>
      <c r="N83" s="55" t="s">
        <v>34</v>
      </c>
      <c r="O83" s="70"/>
      <c r="P83" s="56" t="e">
        <f t="shared" si="4"/>
        <v>#VALUE!</v>
      </c>
    </row>
    <row r="84" spans="1:16">
      <c r="A84" s="10">
        <v>1540</v>
      </c>
      <c r="B84" s="26" t="s">
        <v>408</v>
      </c>
      <c r="C84" s="10" t="s">
        <v>92</v>
      </c>
      <c r="D84" s="10" t="s">
        <v>393</v>
      </c>
      <c r="E84" s="10" t="s">
        <v>238</v>
      </c>
      <c r="F84" s="10" t="s">
        <v>409</v>
      </c>
      <c r="G84" s="61" t="s">
        <v>410</v>
      </c>
      <c r="H84" s="5" t="s">
        <v>411</v>
      </c>
      <c r="I84" s="10" t="s">
        <v>412</v>
      </c>
      <c r="J84" s="57" t="s">
        <v>243</v>
      </c>
      <c r="K84" s="57"/>
      <c r="L84" s="55" t="e">
        <f t="shared" si="5"/>
        <v>#VALUE!</v>
      </c>
      <c r="M84" s="70">
        <v>1</v>
      </c>
      <c r="N84" s="55" t="s">
        <v>34</v>
      </c>
      <c r="O84" s="70"/>
      <c r="P84" s="56" t="e">
        <f t="shared" si="4"/>
        <v>#VALUE!</v>
      </c>
    </row>
    <row r="85" spans="1:16">
      <c r="A85" s="10">
        <v>1540</v>
      </c>
      <c r="B85" s="26" t="s">
        <v>413</v>
      </c>
      <c r="C85" s="10" t="s">
        <v>92</v>
      </c>
      <c r="D85" s="10" t="s">
        <v>414</v>
      </c>
      <c r="E85" s="10"/>
      <c r="F85" s="10"/>
      <c r="G85" s="61" t="s">
        <v>415</v>
      </c>
      <c r="H85" s="5" t="s">
        <v>416</v>
      </c>
      <c r="I85" s="10" t="s">
        <v>417</v>
      </c>
      <c r="J85" s="55">
        <f>7.7337</f>
        <v>7.7336999999999998</v>
      </c>
      <c r="K85" s="55">
        <v>1.4E-3</v>
      </c>
      <c r="L85" s="55">
        <f t="shared" si="5"/>
        <v>7.7351000000000001</v>
      </c>
      <c r="M85" s="70">
        <v>4</v>
      </c>
      <c r="N85" s="55" t="s">
        <v>178</v>
      </c>
      <c r="O85" s="70">
        <v>1</v>
      </c>
      <c r="P85" s="56">
        <f t="shared" si="4"/>
        <v>1.9334249999999999</v>
      </c>
    </row>
    <row r="86" spans="1:16">
      <c r="A86" s="10">
        <v>1540</v>
      </c>
      <c r="B86" s="26" t="s">
        <v>418</v>
      </c>
      <c r="C86" s="10" t="s">
        <v>92</v>
      </c>
      <c r="D86" s="10" t="s">
        <v>419</v>
      </c>
      <c r="E86" s="10" t="s">
        <v>238</v>
      </c>
      <c r="F86" s="10" t="s">
        <v>420</v>
      </c>
      <c r="G86" s="61" t="s">
        <v>421</v>
      </c>
      <c r="H86" s="5" t="s">
        <v>422</v>
      </c>
      <c r="I86" s="10" t="s">
        <v>423</v>
      </c>
      <c r="J86" s="57" t="s">
        <v>243</v>
      </c>
      <c r="K86" s="57"/>
      <c r="L86" s="55" t="e">
        <f t="shared" si="5"/>
        <v>#VALUE!</v>
      </c>
      <c r="M86" s="70">
        <v>1</v>
      </c>
      <c r="N86" s="55" t="s">
        <v>34</v>
      </c>
      <c r="O86" s="70"/>
      <c r="P86" s="56" t="e">
        <f t="shared" si="4"/>
        <v>#VALUE!</v>
      </c>
    </row>
    <row r="87" spans="1:16">
      <c r="A87" s="10">
        <v>1540</v>
      </c>
      <c r="B87" s="26" t="s">
        <v>424</v>
      </c>
      <c r="C87" s="10" t="s">
        <v>92</v>
      </c>
      <c r="D87" s="10" t="s">
        <v>425</v>
      </c>
      <c r="E87" s="10" t="s">
        <v>238</v>
      </c>
      <c r="F87" s="10" t="s">
        <v>426</v>
      </c>
      <c r="G87" s="61" t="s">
        <v>427</v>
      </c>
      <c r="H87" s="5" t="s">
        <v>428</v>
      </c>
      <c r="I87" s="10" t="s">
        <v>429</v>
      </c>
      <c r="J87" s="55" t="s">
        <v>243</v>
      </c>
      <c r="K87" s="55"/>
      <c r="L87" s="55" t="e">
        <f t="shared" si="5"/>
        <v>#VALUE!</v>
      </c>
      <c r="M87" s="70">
        <v>1</v>
      </c>
      <c r="N87" s="55" t="s">
        <v>34</v>
      </c>
      <c r="O87" s="70"/>
      <c r="P87" s="56" t="e">
        <f t="shared" si="4"/>
        <v>#VALUE!</v>
      </c>
    </row>
    <row r="88" spans="1:16">
      <c r="A88" s="10">
        <v>1540</v>
      </c>
      <c r="B88" s="26" t="s">
        <v>430</v>
      </c>
      <c r="C88" s="10" t="s">
        <v>92</v>
      </c>
      <c r="D88" s="10" t="s">
        <v>425</v>
      </c>
      <c r="E88" s="10" t="s">
        <v>238</v>
      </c>
      <c r="F88" s="10" t="s">
        <v>431</v>
      </c>
      <c r="G88" s="61" t="s">
        <v>432</v>
      </c>
      <c r="H88" s="5" t="s">
        <v>433</v>
      </c>
      <c r="I88" s="10" t="s">
        <v>434</v>
      </c>
      <c r="J88" s="55" t="s">
        <v>243</v>
      </c>
      <c r="K88" s="55"/>
      <c r="L88" s="55" t="e">
        <f t="shared" si="5"/>
        <v>#VALUE!</v>
      </c>
      <c r="M88" s="70">
        <v>1</v>
      </c>
      <c r="N88" s="55" t="s">
        <v>34</v>
      </c>
      <c r="O88" s="70"/>
      <c r="P88" s="56" t="e">
        <f t="shared" si="4"/>
        <v>#VALUE!</v>
      </c>
    </row>
    <row r="89" spans="1:16">
      <c r="A89" s="10">
        <v>1540</v>
      </c>
      <c r="B89" s="26" t="s">
        <v>435</v>
      </c>
      <c r="C89" s="10" t="s">
        <v>92</v>
      </c>
      <c r="D89" s="10" t="s">
        <v>436</v>
      </c>
      <c r="E89" s="10"/>
      <c r="F89" s="10"/>
      <c r="G89" s="61" t="s">
        <v>437</v>
      </c>
      <c r="H89" s="5" t="s">
        <v>438</v>
      </c>
      <c r="I89" s="10" t="s">
        <v>439</v>
      </c>
      <c r="J89" s="57">
        <v>12.012</v>
      </c>
      <c r="K89" s="55">
        <v>8.9999999999999998E-4</v>
      </c>
      <c r="L89" s="55">
        <f t="shared" si="5"/>
        <v>12.0129</v>
      </c>
      <c r="M89" s="70">
        <v>1</v>
      </c>
      <c r="N89" s="55" t="s">
        <v>34</v>
      </c>
      <c r="O89" s="70"/>
      <c r="P89" s="56">
        <f t="shared" si="4"/>
        <v>12.012</v>
      </c>
    </row>
    <row r="90" spans="1:16">
      <c r="A90" s="10">
        <v>1540</v>
      </c>
      <c r="B90" s="26" t="s">
        <v>440</v>
      </c>
      <c r="C90" s="10" t="s">
        <v>92</v>
      </c>
      <c r="D90" s="10" t="s">
        <v>441</v>
      </c>
      <c r="E90" s="10"/>
      <c r="F90" s="10"/>
      <c r="G90" s="61" t="s">
        <v>442</v>
      </c>
      <c r="H90" s="5" t="s">
        <v>443</v>
      </c>
      <c r="I90" s="10" t="s">
        <v>444</v>
      </c>
      <c r="J90" s="55">
        <v>12.276</v>
      </c>
      <c r="K90" s="55">
        <v>1.2999999999999999E-3</v>
      </c>
      <c r="L90" s="55">
        <f t="shared" si="5"/>
        <v>12.2773</v>
      </c>
      <c r="M90" s="70">
        <v>1</v>
      </c>
      <c r="N90" s="55" t="s">
        <v>178</v>
      </c>
      <c r="O90" s="70">
        <v>2</v>
      </c>
      <c r="P90" s="56">
        <f t="shared" si="4"/>
        <v>12.276</v>
      </c>
    </row>
    <row r="91" spans="1:16">
      <c r="A91" s="10">
        <v>1540</v>
      </c>
      <c r="B91" s="26" t="s">
        <v>445</v>
      </c>
      <c r="C91" s="10" t="s">
        <v>92</v>
      </c>
      <c r="D91" s="10" t="s">
        <v>441</v>
      </c>
      <c r="E91" s="10"/>
      <c r="F91" s="10"/>
      <c r="G91" s="61" t="s">
        <v>446</v>
      </c>
      <c r="H91" s="5" t="s">
        <v>447</v>
      </c>
      <c r="I91" s="10" t="s">
        <v>448</v>
      </c>
      <c r="J91" s="55">
        <v>12.065</v>
      </c>
      <c r="K91" s="55">
        <v>1.1000000000000001E-3</v>
      </c>
      <c r="L91" s="55">
        <f t="shared" si="5"/>
        <v>12.066099999999999</v>
      </c>
      <c r="M91" s="70">
        <v>1</v>
      </c>
      <c r="N91" s="55" t="s">
        <v>178</v>
      </c>
      <c r="O91" s="70">
        <v>2</v>
      </c>
      <c r="P91" s="56">
        <f t="shared" si="4"/>
        <v>12.065</v>
      </c>
    </row>
    <row r="92" spans="1:16">
      <c r="A92" s="10">
        <v>1540</v>
      </c>
      <c r="B92" s="26" t="s">
        <v>449</v>
      </c>
      <c r="C92" s="10" t="s">
        <v>92</v>
      </c>
      <c r="D92" s="10" t="s">
        <v>450</v>
      </c>
      <c r="E92" s="10"/>
      <c r="F92" s="10"/>
      <c r="G92" s="61" t="s">
        <v>451</v>
      </c>
      <c r="H92" s="5" t="s">
        <v>452</v>
      </c>
      <c r="I92" s="10" t="s">
        <v>453</v>
      </c>
      <c r="J92" s="55">
        <f>10.4247*2</f>
        <v>20.849399999999999</v>
      </c>
      <c r="K92" s="55">
        <v>1.4E-3</v>
      </c>
      <c r="L92" s="55">
        <f t="shared" si="5"/>
        <v>20.8508</v>
      </c>
      <c r="M92" s="70">
        <v>1</v>
      </c>
      <c r="N92" s="55" t="s">
        <v>178</v>
      </c>
      <c r="O92" s="70">
        <v>2</v>
      </c>
      <c r="P92" s="56">
        <f t="shared" si="4"/>
        <v>20.849399999999999</v>
      </c>
    </row>
    <row r="93" spans="1:16">
      <c r="A93" s="10">
        <v>1540</v>
      </c>
      <c r="B93" s="26" t="s">
        <v>454</v>
      </c>
      <c r="C93" s="10" t="s">
        <v>92</v>
      </c>
      <c r="D93" s="10" t="s">
        <v>450</v>
      </c>
      <c r="E93" s="10"/>
      <c r="F93" s="10"/>
      <c r="G93" s="61" t="s">
        <v>455</v>
      </c>
      <c r="H93" s="5" t="s">
        <v>456</v>
      </c>
      <c r="I93" s="10" t="s">
        <v>457</v>
      </c>
      <c r="J93" s="57">
        <f>19.3655*2</f>
        <v>38.731000000000002</v>
      </c>
      <c r="K93" s="55">
        <v>1.6999999999999999E-3</v>
      </c>
      <c r="L93" s="55">
        <f t="shared" si="5"/>
        <v>38.732700000000001</v>
      </c>
      <c r="M93" s="70">
        <v>1</v>
      </c>
      <c r="N93" s="55" t="s">
        <v>178</v>
      </c>
      <c r="O93" s="70">
        <v>2</v>
      </c>
      <c r="P93" s="56">
        <f t="shared" si="4"/>
        <v>38.731000000000002</v>
      </c>
    </row>
    <row r="94" spans="1:16">
      <c r="A94" s="10">
        <v>1540</v>
      </c>
      <c r="B94" s="26" t="s">
        <v>458</v>
      </c>
      <c r="C94" s="10" t="s">
        <v>92</v>
      </c>
      <c r="D94" s="10" t="s">
        <v>450</v>
      </c>
      <c r="E94" s="10"/>
      <c r="F94" s="10"/>
      <c r="G94" s="61" t="s">
        <v>459</v>
      </c>
      <c r="H94" s="5" t="s">
        <v>460</v>
      </c>
      <c r="I94" s="10" t="s">
        <v>461</v>
      </c>
      <c r="J94" s="57">
        <f>7.9167*2</f>
        <v>15.833399999999999</v>
      </c>
      <c r="K94" s="55">
        <v>1.1999999999999999E-3</v>
      </c>
      <c r="L94" s="55">
        <f t="shared" si="5"/>
        <v>15.8346</v>
      </c>
      <c r="M94" s="70">
        <v>1</v>
      </c>
      <c r="N94" s="55" t="s">
        <v>178</v>
      </c>
      <c r="O94" s="70">
        <v>2</v>
      </c>
      <c r="P94" s="56">
        <f t="shared" si="4"/>
        <v>15.833399999999999</v>
      </c>
    </row>
    <row r="95" spans="1:16">
      <c r="A95" s="10">
        <v>2200</v>
      </c>
      <c r="B95" s="26" t="s">
        <v>462</v>
      </c>
      <c r="C95" s="10" t="s">
        <v>122</v>
      </c>
      <c r="D95" s="10" t="s">
        <v>463</v>
      </c>
      <c r="E95" s="10"/>
      <c r="F95" s="10"/>
      <c r="G95" s="61" t="s">
        <v>464</v>
      </c>
      <c r="H95" s="5" t="s">
        <v>465</v>
      </c>
      <c r="I95" s="10" t="s">
        <v>466</v>
      </c>
      <c r="J95" s="55">
        <v>53.92</v>
      </c>
      <c r="K95" s="55">
        <v>8.9999999999999998E-4</v>
      </c>
      <c r="L95" s="55">
        <f t="shared" si="5"/>
        <v>53.920900000000003</v>
      </c>
      <c r="M95" s="70">
        <v>1</v>
      </c>
      <c r="N95" s="55" t="s">
        <v>34</v>
      </c>
      <c r="O95" s="70"/>
      <c r="P95" s="56">
        <f t="shared" si="4"/>
        <v>53.92</v>
      </c>
    </row>
    <row r="96" spans="1:16">
      <c r="A96" s="10">
        <v>2200</v>
      </c>
      <c r="B96" s="26" t="s">
        <v>467</v>
      </c>
      <c r="C96" s="10" t="s">
        <v>122</v>
      </c>
      <c r="D96" s="10" t="s">
        <v>468</v>
      </c>
      <c r="E96" s="10"/>
      <c r="F96" s="10"/>
      <c r="G96" s="61" t="s">
        <v>469</v>
      </c>
      <c r="H96" s="5" t="s">
        <v>470</v>
      </c>
      <c r="I96" s="10" t="s">
        <v>471</v>
      </c>
      <c r="J96" s="55">
        <v>130.36000000000001</v>
      </c>
      <c r="K96" s="55">
        <v>1.6999999999999999E-3</v>
      </c>
      <c r="L96" s="55">
        <f t="shared" si="5"/>
        <v>130.36170000000001</v>
      </c>
      <c r="M96" s="70">
        <v>1</v>
      </c>
      <c r="N96" s="55" t="s">
        <v>34</v>
      </c>
      <c r="O96" s="70"/>
      <c r="P96" s="56">
        <f t="shared" si="4"/>
        <v>130.36000000000001</v>
      </c>
    </row>
    <row r="97" spans="1:16">
      <c r="A97" s="10">
        <v>2200</v>
      </c>
      <c r="B97" s="26" t="s">
        <v>472</v>
      </c>
      <c r="C97" s="10" t="s">
        <v>122</v>
      </c>
      <c r="D97" s="10" t="s">
        <v>473</v>
      </c>
      <c r="E97" s="10"/>
      <c r="F97" s="10"/>
      <c r="G97" s="61" t="s">
        <v>474</v>
      </c>
      <c r="H97" s="5" t="s">
        <v>475</v>
      </c>
      <c r="I97" s="10" t="s">
        <v>476</v>
      </c>
      <c r="J97" s="55">
        <v>2.15</v>
      </c>
      <c r="K97" s="55">
        <v>1E-4</v>
      </c>
      <c r="L97" s="55">
        <f t="shared" si="5"/>
        <v>2.1501000000000001</v>
      </c>
      <c r="M97" s="70">
        <v>1</v>
      </c>
      <c r="N97" s="55" t="s">
        <v>34</v>
      </c>
      <c r="O97" s="70"/>
      <c r="P97" s="56">
        <f t="shared" si="4"/>
        <v>2.15</v>
      </c>
    </row>
    <row r="98" spans="1:16">
      <c r="A98" s="10">
        <v>2200</v>
      </c>
      <c r="B98" s="26" t="s">
        <v>477</v>
      </c>
      <c r="C98" s="10" t="s">
        <v>122</v>
      </c>
      <c r="D98" s="10" t="s">
        <v>478</v>
      </c>
      <c r="E98" s="10"/>
      <c r="F98" s="10"/>
      <c r="G98" s="62" t="s">
        <v>479</v>
      </c>
      <c r="H98" s="60" t="s">
        <v>480</v>
      </c>
      <c r="I98" s="10" t="s">
        <v>481</v>
      </c>
      <c r="J98" s="55">
        <v>10.18</v>
      </c>
      <c r="K98" s="55">
        <v>0.23630000000000001</v>
      </c>
      <c r="L98" s="55">
        <f t="shared" si="5"/>
        <v>10.4163</v>
      </c>
      <c r="M98" s="70">
        <v>1</v>
      </c>
      <c r="N98" s="55" t="s">
        <v>34</v>
      </c>
      <c r="O98" s="70"/>
      <c r="P98" s="56">
        <f t="shared" si="4"/>
        <v>10.18</v>
      </c>
    </row>
    <row r="99" spans="1:16">
      <c r="A99" s="10">
        <v>2200</v>
      </c>
      <c r="B99" s="26" t="s">
        <v>482</v>
      </c>
      <c r="C99" s="10" t="s">
        <v>122</v>
      </c>
      <c r="D99" s="10" t="s">
        <v>483</v>
      </c>
      <c r="E99" s="10"/>
      <c r="F99" s="10"/>
      <c r="G99" s="61" t="s">
        <v>484</v>
      </c>
      <c r="H99" s="5" t="s">
        <v>485</v>
      </c>
      <c r="I99" s="10" t="s">
        <v>486</v>
      </c>
      <c r="J99" s="55">
        <v>11.5</v>
      </c>
      <c r="K99" s="55">
        <v>6.9999999999999999E-4</v>
      </c>
      <c r="L99" s="55">
        <f t="shared" si="5"/>
        <v>11.5007</v>
      </c>
      <c r="M99" s="70">
        <v>1</v>
      </c>
      <c r="N99" s="55" t="s">
        <v>34</v>
      </c>
      <c r="O99" s="70"/>
      <c r="P99" s="56">
        <f t="shared" si="4"/>
        <v>11.5</v>
      </c>
    </row>
    <row r="100" spans="1:16">
      <c r="A100" s="10">
        <v>2200</v>
      </c>
      <c r="B100" s="26" t="s">
        <v>487</v>
      </c>
      <c r="C100" s="10" t="s">
        <v>122</v>
      </c>
      <c r="D100" s="10" t="s">
        <v>488</v>
      </c>
      <c r="E100" s="10"/>
      <c r="F100" s="10"/>
      <c r="G100" s="62" t="s">
        <v>489</v>
      </c>
      <c r="H100" s="60" t="s">
        <v>490</v>
      </c>
      <c r="I100" s="10" t="s">
        <v>491</v>
      </c>
      <c r="J100" s="55">
        <v>15.7788</v>
      </c>
      <c r="K100" s="55">
        <v>5.0000000000000001E-3</v>
      </c>
      <c r="L100" s="55">
        <f t="shared" si="5"/>
        <v>15.783800000000001</v>
      </c>
      <c r="M100" s="70">
        <v>0.8</v>
      </c>
      <c r="N100" s="55" t="s">
        <v>235</v>
      </c>
      <c r="O100" s="70"/>
      <c r="P100" s="56">
        <f t="shared" si="4"/>
        <v>19.723499999999998</v>
      </c>
    </row>
    <row r="101" spans="1:16">
      <c r="A101" s="10">
        <v>2200</v>
      </c>
      <c r="B101" s="26" t="s">
        <v>492</v>
      </c>
      <c r="C101" s="10" t="s">
        <v>122</v>
      </c>
      <c r="D101" s="10" t="s">
        <v>493</v>
      </c>
      <c r="E101" s="10"/>
      <c r="F101" s="10"/>
      <c r="G101" s="61" t="s">
        <v>494</v>
      </c>
      <c r="H101" s="5" t="s">
        <v>495</v>
      </c>
      <c r="I101" s="10" t="s">
        <v>496</v>
      </c>
      <c r="J101" s="55">
        <v>18</v>
      </c>
      <c r="K101" s="55">
        <v>0.24179999999999999</v>
      </c>
      <c r="L101" s="55">
        <f t="shared" si="5"/>
        <v>18.241800000000001</v>
      </c>
      <c r="M101" s="70">
        <v>1</v>
      </c>
      <c r="N101" s="55" t="s">
        <v>34</v>
      </c>
      <c r="O101" s="70"/>
      <c r="P101" s="56">
        <f t="shared" si="4"/>
        <v>18</v>
      </c>
    </row>
    <row r="102" spans="1:16">
      <c r="A102" s="10">
        <v>2200</v>
      </c>
      <c r="B102" s="26" t="s">
        <v>497</v>
      </c>
      <c r="C102" s="10" t="s">
        <v>122</v>
      </c>
      <c r="D102" s="10" t="s">
        <v>498</v>
      </c>
      <c r="E102" s="10"/>
      <c r="F102" s="10"/>
      <c r="G102" s="61" t="s">
        <v>499</v>
      </c>
      <c r="H102" s="5" t="s">
        <v>500</v>
      </c>
      <c r="I102" s="10" t="s">
        <v>501</v>
      </c>
      <c r="J102" s="55">
        <v>326</v>
      </c>
      <c r="K102" s="55">
        <v>1.8599999999999998E-2</v>
      </c>
      <c r="L102" s="55">
        <f t="shared" si="5"/>
        <v>326.01859999999999</v>
      </c>
      <c r="M102" s="70">
        <v>1</v>
      </c>
      <c r="N102" s="55" t="s">
        <v>34</v>
      </c>
      <c r="O102" s="70"/>
      <c r="P102" s="56">
        <f t="shared" si="4"/>
        <v>326</v>
      </c>
    </row>
    <row r="103" spans="1:16">
      <c r="A103" s="10">
        <v>2200</v>
      </c>
      <c r="B103" s="26" t="s">
        <v>502</v>
      </c>
      <c r="C103" s="10" t="s">
        <v>122</v>
      </c>
      <c r="D103" s="10" t="s">
        <v>503</v>
      </c>
      <c r="E103" s="10"/>
      <c r="F103" s="10"/>
      <c r="G103" s="61" t="s">
        <v>504</v>
      </c>
      <c r="H103" s="5" t="s">
        <v>505</v>
      </c>
      <c r="I103" s="10" t="s">
        <v>506</v>
      </c>
      <c r="J103" s="55">
        <v>28.32</v>
      </c>
      <c r="K103" s="55">
        <v>6.9999999999999999E-4</v>
      </c>
      <c r="L103" s="55">
        <f t="shared" si="5"/>
        <v>28.320699999999999</v>
      </c>
      <c r="M103" s="70">
        <v>1</v>
      </c>
      <c r="N103" s="55" t="s">
        <v>34</v>
      </c>
      <c r="O103" s="70"/>
      <c r="P103" s="56">
        <f t="shared" si="4"/>
        <v>28.32</v>
      </c>
    </row>
    <row r="104" spans="1:16">
      <c r="A104" s="10">
        <v>2200</v>
      </c>
      <c r="B104" s="26" t="s">
        <v>507</v>
      </c>
      <c r="C104" s="10" t="s">
        <v>122</v>
      </c>
      <c r="D104" s="10" t="s">
        <v>508</v>
      </c>
      <c r="E104" s="10"/>
      <c r="F104" s="10"/>
      <c r="G104" s="61" t="s">
        <v>509</v>
      </c>
      <c r="H104" s="5" t="s">
        <v>510</v>
      </c>
      <c r="I104" s="10" t="s">
        <v>511</v>
      </c>
      <c r="J104" s="55">
        <v>35.04</v>
      </c>
      <c r="K104" s="55">
        <v>1.2999999999999999E-3</v>
      </c>
      <c r="L104" s="55">
        <f t="shared" si="5"/>
        <v>35.0413</v>
      </c>
      <c r="M104" s="70">
        <v>1</v>
      </c>
      <c r="N104" s="55" t="s">
        <v>34</v>
      </c>
      <c r="O104" s="70"/>
      <c r="P104" s="56">
        <f t="shared" si="4"/>
        <v>35.04</v>
      </c>
    </row>
    <row r="105" spans="1:16">
      <c r="A105" s="10">
        <v>2200</v>
      </c>
      <c r="B105" s="26" t="s">
        <v>512</v>
      </c>
      <c r="C105" s="10" t="s">
        <v>122</v>
      </c>
      <c r="D105" s="10" t="s">
        <v>508</v>
      </c>
      <c r="E105" s="10"/>
      <c r="F105" s="10"/>
      <c r="G105" s="61" t="s">
        <v>513</v>
      </c>
      <c r="H105" s="5" t="s">
        <v>514</v>
      </c>
      <c r="I105" s="10" t="s">
        <v>515</v>
      </c>
      <c r="J105" s="55">
        <v>38.89</v>
      </c>
      <c r="K105" s="55">
        <v>1.6999999999999999E-3</v>
      </c>
      <c r="L105" s="55">
        <f t="shared" si="5"/>
        <v>38.8917</v>
      </c>
      <c r="M105" s="70">
        <v>1</v>
      </c>
      <c r="N105" s="55" t="s">
        <v>34</v>
      </c>
      <c r="O105" s="70"/>
      <c r="P105" s="56">
        <f t="shared" si="4"/>
        <v>38.89</v>
      </c>
    </row>
    <row r="106" spans="1:16">
      <c r="A106" s="10">
        <v>2200</v>
      </c>
      <c r="B106" s="26" t="s">
        <v>516</v>
      </c>
      <c r="C106" s="10" t="s">
        <v>122</v>
      </c>
      <c r="D106" s="10" t="s">
        <v>517</v>
      </c>
      <c r="E106" s="10"/>
      <c r="F106" s="10"/>
      <c r="G106" s="61" t="s">
        <v>518</v>
      </c>
      <c r="H106" s="5" t="s">
        <v>519</v>
      </c>
      <c r="I106" s="10" t="s">
        <v>520</v>
      </c>
      <c r="J106" s="55">
        <v>5.74</v>
      </c>
      <c r="K106" s="55">
        <v>2.0000000000000001E-4</v>
      </c>
      <c r="L106" s="55">
        <f t="shared" si="5"/>
        <v>5.7402000000000006</v>
      </c>
      <c r="M106" s="70">
        <v>1</v>
      </c>
      <c r="N106" s="55" t="s">
        <v>34</v>
      </c>
      <c r="O106" s="70"/>
      <c r="P106" s="56">
        <f t="shared" si="4"/>
        <v>5.74</v>
      </c>
    </row>
    <row r="107" spans="1:16">
      <c r="A107" s="10">
        <v>1540</v>
      </c>
      <c r="B107" s="26" t="s">
        <v>521</v>
      </c>
      <c r="C107" s="26" t="s">
        <v>522</v>
      </c>
      <c r="D107" s="10" t="s">
        <v>523</v>
      </c>
      <c r="E107" s="10"/>
      <c r="F107" s="10"/>
      <c r="G107" s="61" t="s">
        <v>524</v>
      </c>
      <c r="H107" s="5" t="s">
        <v>525</v>
      </c>
      <c r="I107" s="10" t="s">
        <v>526</v>
      </c>
      <c r="J107" s="55">
        <v>6.1711</v>
      </c>
      <c r="K107" s="55">
        <v>2.9999999999999997E-4</v>
      </c>
      <c r="L107" s="55">
        <f t="shared" si="5"/>
        <v>6.1714000000000002</v>
      </c>
      <c r="M107" s="70">
        <v>1</v>
      </c>
      <c r="N107" s="55" t="s">
        <v>178</v>
      </c>
      <c r="O107" s="70">
        <v>3</v>
      </c>
      <c r="P107" s="56">
        <f t="shared" si="4"/>
        <v>6.1711</v>
      </c>
    </row>
    <row r="108" spans="1:16">
      <c r="A108" s="10">
        <v>1540</v>
      </c>
      <c r="B108" s="26" t="s">
        <v>527</v>
      </c>
      <c r="C108" s="26" t="s">
        <v>522</v>
      </c>
      <c r="D108" s="10" t="s">
        <v>528</v>
      </c>
      <c r="E108" s="10"/>
      <c r="F108" s="10"/>
      <c r="G108" s="61" t="s">
        <v>529</v>
      </c>
      <c r="H108" s="5" t="s">
        <v>530</v>
      </c>
      <c r="I108" s="10" t="s">
        <v>531</v>
      </c>
      <c r="J108" s="55">
        <v>3.6160000000000001</v>
      </c>
      <c r="K108" s="55">
        <v>1E-4</v>
      </c>
      <c r="L108" s="55">
        <f t="shared" si="5"/>
        <v>3.6161000000000003</v>
      </c>
      <c r="M108" s="70">
        <v>1</v>
      </c>
      <c r="N108" s="55" t="s">
        <v>34</v>
      </c>
      <c r="O108" s="70"/>
      <c r="P108" s="56">
        <f t="shared" si="4"/>
        <v>3.6160000000000001</v>
      </c>
    </row>
    <row r="109" spans="1:16">
      <c r="A109" s="10">
        <v>1540</v>
      </c>
      <c r="B109" s="26" t="s">
        <v>532</v>
      </c>
      <c r="C109" s="26" t="s">
        <v>522</v>
      </c>
      <c r="D109" s="10" t="s">
        <v>533</v>
      </c>
      <c r="E109" s="10"/>
      <c r="F109" s="10"/>
      <c r="G109" s="61" t="s">
        <v>534</v>
      </c>
      <c r="H109" s="5" t="s">
        <v>535</v>
      </c>
      <c r="I109" s="10" t="s">
        <v>536</v>
      </c>
      <c r="J109" s="55">
        <v>5.4185999999999996</v>
      </c>
      <c r="K109" s="55">
        <v>1E-4</v>
      </c>
      <c r="L109" s="55">
        <f t="shared" si="5"/>
        <v>5.4186999999999994</v>
      </c>
      <c r="M109" s="70">
        <v>1</v>
      </c>
      <c r="N109" s="55" t="s">
        <v>34</v>
      </c>
      <c r="O109" s="70"/>
      <c r="P109" s="56">
        <f t="shared" si="4"/>
        <v>5.4185999999999996</v>
      </c>
    </row>
    <row r="110" spans="1:16">
      <c r="A110" s="10">
        <v>1540</v>
      </c>
      <c r="B110" s="26" t="s">
        <v>537</v>
      </c>
      <c r="C110" s="26" t="s">
        <v>522</v>
      </c>
      <c r="D110" s="10" t="s">
        <v>538</v>
      </c>
      <c r="E110" s="10"/>
      <c r="F110" s="10"/>
      <c r="G110" s="61" t="s">
        <v>539</v>
      </c>
      <c r="H110" s="5" t="s">
        <v>540</v>
      </c>
      <c r="I110" s="10" t="s">
        <v>541</v>
      </c>
      <c r="J110" s="55">
        <v>3.9824999999999999</v>
      </c>
      <c r="K110" s="55">
        <v>1E-4</v>
      </c>
      <c r="L110" s="55">
        <f t="shared" si="5"/>
        <v>3.9826000000000001</v>
      </c>
      <c r="M110" s="70">
        <v>1</v>
      </c>
      <c r="N110" s="55" t="s">
        <v>34</v>
      </c>
      <c r="O110" s="70"/>
      <c r="P110" s="56">
        <f t="shared" si="4"/>
        <v>3.9824999999999999</v>
      </c>
    </row>
    <row r="111" spans="1:16">
      <c r="A111" s="10">
        <v>1300</v>
      </c>
      <c r="B111" s="26" t="s">
        <v>542</v>
      </c>
      <c r="C111" s="10" t="s">
        <v>543</v>
      </c>
      <c r="D111" s="10" t="s">
        <v>544</v>
      </c>
      <c r="E111" s="10"/>
      <c r="F111" s="10"/>
      <c r="G111" s="61" t="s">
        <v>545</v>
      </c>
      <c r="H111" s="5" t="s">
        <v>546</v>
      </c>
      <c r="I111" s="10" t="s">
        <v>547</v>
      </c>
      <c r="J111" s="55">
        <v>13.951000000000001</v>
      </c>
      <c r="K111" s="55">
        <v>1.1000000000000001E-3</v>
      </c>
      <c r="L111" s="55">
        <f t="shared" si="5"/>
        <v>13.9521</v>
      </c>
      <c r="M111" s="70">
        <v>1</v>
      </c>
      <c r="N111" s="55" t="s">
        <v>178</v>
      </c>
      <c r="O111" s="70">
        <v>2</v>
      </c>
      <c r="P111" s="56">
        <f t="shared" si="4"/>
        <v>13.951000000000001</v>
      </c>
    </row>
    <row r="112" spans="1:16">
      <c r="A112" s="10">
        <v>1600</v>
      </c>
      <c r="B112" s="10"/>
      <c r="C112" s="10" t="s">
        <v>220</v>
      </c>
      <c r="D112" s="10" t="str">
        <f>VLOOKUP(F112,'[9]RestitutionFinal Ramery '!$B:$C,2,FALSE)</f>
        <v>BICOUCHE SUPPORT BETON ISOLANT PSE/POLYURETHANE</v>
      </c>
      <c r="E112" s="10"/>
      <c r="F112" s="10">
        <v>10035363</v>
      </c>
      <c r="G112" s="61" t="s">
        <v>548</v>
      </c>
      <c r="H112" s="5" t="s">
        <v>549</v>
      </c>
      <c r="I112" s="10" t="s">
        <v>550</v>
      </c>
      <c r="J112" s="55">
        <v>44.57</v>
      </c>
      <c r="K112" s="55">
        <f>VLOOKUP(F112,'[10]RestitutionFinal Ramery '!$B:$Y,24,FALSE)</f>
        <v>1.0027679999999999</v>
      </c>
      <c r="L112" s="55">
        <f t="shared" ref="L112:L122" si="6">J112+K112</f>
        <v>45.572768000000003</v>
      </c>
      <c r="M112" s="70">
        <v>1</v>
      </c>
      <c r="N112" s="55" t="s">
        <v>172</v>
      </c>
      <c r="O112" s="70"/>
      <c r="P112" s="56">
        <f t="shared" si="4"/>
        <v>44.57</v>
      </c>
    </row>
    <row r="113" spans="1:16">
      <c r="A113" s="10">
        <v>1600</v>
      </c>
      <c r="B113" s="10"/>
      <c r="C113" s="10" t="s">
        <v>220</v>
      </c>
      <c r="D113" s="10" t="str">
        <f>VLOOKUP(F113,'[9]RestitutionFinal Ramery '!$B:$C,2,FALSE)</f>
        <v>COLLES</v>
      </c>
      <c r="E113" s="10"/>
      <c r="F113" s="10">
        <v>20011293</v>
      </c>
      <c r="G113" s="61" t="s">
        <v>551</v>
      </c>
      <c r="H113" s="5" t="s">
        <v>552</v>
      </c>
      <c r="I113" s="10" t="s">
        <v>553</v>
      </c>
      <c r="J113" s="35">
        <v>99.95</v>
      </c>
      <c r="K113" s="55">
        <f>VLOOKUP(F113,'[10]RestitutionFinal Ramery '!$B:$Y,24,FALSE)</f>
        <v>0</v>
      </c>
      <c r="L113" s="55">
        <f t="shared" si="6"/>
        <v>99.95</v>
      </c>
      <c r="M113" s="70">
        <v>1</v>
      </c>
      <c r="N113" s="55" t="s">
        <v>172</v>
      </c>
      <c r="O113" s="71"/>
      <c r="P113" s="56">
        <f t="shared" si="4"/>
        <v>99.95</v>
      </c>
    </row>
    <row r="114" spans="1:16">
      <c r="A114" s="10">
        <v>1600</v>
      </c>
      <c r="B114" s="10"/>
      <c r="C114" s="10" t="s">
        <v>220</v>
      </c>
      <c r="D114" s="10" t="str">
        <f>VLOOKUP(F114,'[9]RestitutionFinal Ramery '!$B:$C,2,FALSE)</f>
        <v>PARE VAPEUR</v>
      </c>
      <c r="E114" s="10"/>
      <c r="F114" s="10">
        <v>10035523</v>
      </c>
      <c r="G114" s="61" t="s">
        <v>554</v>
      </c>
      <c r="H114" s="5" t="s">
        <v>555</v>
      </c>
      <c r="I114" s="10" t="s">
        <v>556</v>
      </c>
      <c r="J114" s="35">
        <v>25.45</v>
      </c>
      <c r="K114" s="55">
        <f>VLOOKUP(F114,'[10]RestitutionFinal Ramery '!$B:$Y,24,FALSE)</f>
        <v>0.95526599999999995</v>
      </c>
      <c r="L114" s="55">
        <f t="shared" si="6"/>
        <v>26.405265999999997</v>
      </c>
      <c r="M114" s="70">
        <v>1</v>
      </c>
      <c r="N114" s="55" t="s">
        <v>172</v>
      </c>
      <c r="O114" s="71"/>
      <c r="P114" s="56">
        <f t="shared" si="4"/>
        <v>25.45</v>
      </c>
    </row>
    <row r="115" spans="1:16">
      <c r="A115" s="10">
        <v>1600</v>
      </c>
      <c r="B115" s="10"/>
      <c r="C115" s="10" t="s">
        <v>220</v>
      </c>
      <c r="D115" s="10" t="str">
        <f>VLOOKUP(F115,'[9]RestitutionFinal Ramery '!$B:$C,2,FALSE)</f>
        <v>RELEVES</v>
      </c>
      <c r="E115" s="10"/>
      <c r="F115" s="10">
        <v>10035532</v>
      </c>
      <c r="G115" s="61" t="s">
        <v>557</v>
      </c>
      <c r="H115" s="5" t="s">
        <v>558</v>
      </c>
      <c r="I115" s="10" t="s">
        <v>559</v>
      </c>
      <c r="J115" s="35">
        <v>53.13</v>
      </c>
      <c r="K115" s="55">
        <f>VLOOKUP(F115,'[10]RestitutionFinal Ramery '!$B:$Y,24,FALSE)</f>
        <v>1.00854</v>
      </c>
      <c r="L115" s="55">
        <f t="shared" si="6"/>
        <v>54.138540000000006</v>
      </c>
      <c r="M115" s="70">
        <v>1</v>
      </c>
      <c r="N115" s="55" t="s">
        <v>172</v>
      </c>
      <c r="O115" s="71"/>
      <c r="P115" s="56">
        <f t="shared" si="4"/>
        <v>53.13</v>
      </c>
    </row>
    <row r="116" spans="1:16">
      <c r="A116" s="10">
        <v>1600</v>
      </c>
      <c r="B116" s="10"/>
      <c r="C116" s="10" t="s">
        <v>220</v>
      </c>
      <c r="D116" s="10" t="str">
        <f>VLOOKUP(F116,'[9]RestitutionFinal Ramery '!$B:$C,2,FALSE)</f>
        <v>BICOUCHE SUPPORT BETON ISOLANT PSE/POLYURETHANE</v>
      </c>
      <c r="E116" s="10"/>
      <c r="F116" s="10">
        <v>10035543</v>
      </c>
      <c r="G116" s="61" t="s">
        <v>560</v>
      </c>
      <c r="H116" s="5" t="s">
        <v>561</v>
      </c>
      <c r="I116" s="10" t="s">
        <v>562</v>
      </c>
      <c r="J116" s="35">
        <v>29.64</v>
      </c>
      <c r="K116" s="55">
        <f>VLOOKUP(F116,'[10]RestitutionFinal Ramery '!$B:$Y,24,FALSE)</f>
        <v>0.98104500000000006</v>
      </c>
      <c r="L116" s="55">
        <f t="shared" si="6"/>
        <v>30.621045000000002</v>
      </c>
      <c r="M116" s="70">
        <v>1</v>
      </c>
      <c r="N116" s="55" t="s">
        <v>172</v>
      </c>
      <c r="O116" s="71"/>
      <c r="P116" s="56">
        <f t="shared" si="4"/>
        <v>29.64</v>
      </c>
    </row>
    <row r="117" spans="1:16">
      <c r="A117" s="10">
        <v>1600</v>
      </c>
      <c r="B117" s="10"/>
      <c r="C117" s="10" t="s">
        <v>220</v>
      </c>
      <c r="D117" s="10" t="str">
        <f>VLOOKUP(F117,'[9]RestitutionFinal Ramery '!$B:$C,2,FALSE)</f>
        <v>BI COUCHES ET MONOCOUCHE SOUS GRAVILLONS /DALLES SUR PLOTS</v>
      </c>
      <c r="E117" s="10"/>
      <c r="F117" s="10">
        <v>10035583</v>
      </c>
      <c r="G117" s="61" t="s">
        <v>563</v>
      </c>
      <c r="H117" s="5" t="s">
        <v>564</v>
      </c>
      <c r="I117" s="10" t="s">
        <v>565</v>
      </c>
      <c r="J117" s="35">
        <v>29.85</v>
      </c>
      <c r="K117" s="55">
        <f>VLOOKUP(F117,'[10]RestitutionFinal Ramery '!$B:$Y,24,FALSE)</f>
        <v>0.99407100000000004</v>
      </c>
      <c r="L117" s="55">
        <f t="shared" si="6"/>
        <v>30.844071000000003</v>
      </c>
      <c r="M117" s="70">
        <v>1</v>
      </c>
      <c r="N117" s="55" t="s">
        <v>172</v>
      </c>
      <c r="O117" s="71"/>
      <c r="P117" s="56">
        <f t="shared" si="4"/>
        <v>29.85</v>
      </c>
    </row>
    <row r="118" spans="1:16">
      <c r="A118" s="10">
        <v>1600</v>
      </c>
      <c r="B118" s="10"/>
      <c r="C118" s="10" t="s">
        <v>220</v>
      </c>
      <c r="D118" s="10" t="str">
        <f>VLOOKUP(F118,'[9]RestitutionFinal Ramery '!$B:$C,2,FALSE)</f>
        <v>BI COUCHES ET MONOCOUCHE SOUS GRAVILLONS /DALLES SUR PLOTS</v>
      </c>
      <c r="E118" s="10"/>
      <c r="F118" s="10">
        <v>10035590</v>
      </c>
      <c r="G118" s="61" t="s">
        <v>566</v>
      </c>
      <c r="H118" s="5" t="s">
        <v>567</v>
      </c>
      <c r="I118" s="10" t="s">
        <v>568</v>
      </c>
      <c r="J118" s="35">
        <v>43.11</v>
      </c>
      <c r="K118" s="55">
        <f>VLOOKUP(F118,'[10]RestitutionFinal Ramery '!$B:$Y,24,FALSE)</f>
        <v>0.97492199999999996</v>
      </c>
      <c r="L118" s="55">
        <f t="shared" si="6"/>
        <v>44.084921999999999</v>
      </c>
      <c r="M118" s="70">
        <v>1</v>
      </c>
      <c r="N118" s="55" t="s">
        <v>172</v>
      </c>
      <c r="O118" s="71"/>
      <c r="P118" s="56">
        <f t="shared" si="4"/>
        <v>43.11</v>
      </c>
    </row>
    <row r="119" spans="1:16">
      <c r="A119" s="10">
        <v>1600</v>
      </c>
      <c r="B119" s="10"/>
      <c r="C119" s="10" t="s">
        <v>220</v>
      </c>
      <c r="D119" s="10"/>
      <c r="E119" s="10"/>
      <c r="F119" s="10"/>
      <c r="G119" s="61"/>
      <c r="H119" s="5" t="s">
        <v>569</v>
      </c>
      <c r="I119" s="10" t="s">
        <v>570</v>
      </c>
      <c r="J119" s="35">
        <v>53.39</v>
      </c>
      <c r="K119" s="55"/>
      <c r="L119" s="55"/>
      <c r="M119" s="70">
        <v>1</v>
      </c>
      <c r="N119" s="55" t="s">
        <v>172</v>
      </c>
      <c r="O119" s="71"/>
      <c r="P119" s="56">
        <f t="shared" si="4"/>
        <v>53.39</v>
      </c>
    </row>
    <row r="120" spans="1:16">
      <c r="A120" s="10">
        <v>1600</v>
      </c>
      <c r="B120" s="10"/>
      <c r="C120" s="10" t="s">
        <v>220</v>
      </c>
      <c r="D120" s="10" t="str">
        <f>VLOOKUP(F120,'[9]RestitutionFinal Ramery '!$B:$C,2,FALSE)</f>
        <v>RELEVES</v>
      </c>
      <c r="E120" s="10"/>
      <c r="F120" s="10">
        <v>10035685</v>
      </c>
      <c r="G120" s="61" t="s">
        <v>571</v>
      </c>
      <c r="H120" s="5" t="s">
        <v>572</v>
      </c>
      <c r="I120" s="10" t="s">
        <v>573</v>
      </c>
      <c r="J120" s="35">
        <v>16.39</v>
      </c>
      <c r="K120" s="55">
        <f>VLOOKUP(F120,'[10]RestitutionFinal Ramery '!$B:$Y,24,FALSE)</f>
        <v>0.46558200000000005</v>
      </c>
      <c r="L120" s="55">
        <f t="shared" si="6"/>
        <v>16.855582000000002</v>
      </c>
      <c r="M120" s="70">
        <v>1</v>
      </c>
      <c r="N120" s="55" t="s">
        <v>172</v>
      </c>
      <c r="O120" s="71"/>
      <c r="P120" s="56">
        <f t="shared" si="4"/>
        <v>16.39</v>
      </c>
    </row>
    <row r="121" spans="1:16">
      <c r="A121" s="10">
        <v>1600</v>
      </c>
      <c r="B121" s="10"/>
      <c r="C121" s="10" t="s">
        <v>220</v>
      </c>
      <c r="D121" s="10" t="str">
        <f>VLOOKUP(F121,'[9]RestitutionFinal Ramery '!$B:$C,2,FALSE)</f>
        <v>RELEVES</v>
      </c>
      <c r="E121" s="10"/>
      <c r="F121" s="10">
        <v>10035686</v>
      </c>
      <c r="G121" s="61" t="s">
        <v>574</v>
      </c>
      <c r="H121" s="5" t="s">
        <v>575</v>
      </c>
      <c r="I121" s="10" t="s">
        <v>576</v>
      </c>
      <c r="J121" s="35">
        <v>23.42</v>
      </c>
      <c r="K121" s="55">
        <f>VLOOKUP(F121,'[10]RestitutionFinal Ramery '!$B:$Y,24,FALSE)</f>
        <v>0.61428900000000008</v>
      </c>
      <c r="L121" s="55">
        <f t="shared" si="6"/>
        <v>24.034289000000001</v>
      </c>
      <c r="M121" s="70">
        <v>1</v>
      </c>
      <c r="N121" s="55" t="s">
        <v>172</v>
      </c>
      <c r="O121" s="71"/>
      <c r="P121" s="56">
        <f t="shared" si="4"/>
        <v>23.42</v>
      </c>
    </row>
    <row r="122" spans="1:16">
      <c r="A122" s="10">
        <v>1600</v>
      </c>
      <c r="B122" s="10"/>
      <c r="C122" s="10" t="s">
        <v>220</v>
      </c>
      <c r="D122" s="10" t="str">
        <f>VLOOKUP(F122,'[9]RestitutionFinal Ramery '!$B:$C,2,FALSE)</f>
        <v>RELEVES</v>
      </c>
      <c r="E122" s="10"/>
      <c r="F122" s="10">
        <v>10035735</v>
      </c>
      <c r="G122" s="61" t="s">
        <v>577</v>
      </c>
      <c r="H122" s="5" t="s">
        <v>578</v>
      </c>
      <c r="I122" s="10" t="s">
        <v>579</v>
      </c>
      <c r="J122" s="35">
        <v>45.11</v>
      </c>
      <c r="K122" s="55">
        <f>VLOOKUP(F122,'[10]RestitutionFinal Ramery '!$B:$Y,24,FALSE)</f>
        <v>1.092273</v>
      </c>
      <c r="L122" s="55">
        <f t="shared" si="6"/>
        <v>46.202272999999998</v>
      </c>
      <c r="M122" s="70">
        <v>1</v>
      </c>
      <c r="N122" s="55" t="s">
        <v>172</v>
      </c>
      <c r="O122" s="71"/>
      <c r="P122" s="56">
        <f t="shared" si="4"/>
        <v>45.11</v>
      </c>
    </row>
  </sheetData>
  <autoFilter ref="A7:P122" xr:uid="{738E12E8-9324-4694-8758-EC756D16D216}">
    <filterColumn colId="12" showButton="0"/>
  </autoFilter>
  <mergeCells count="2">
    <mergeCell ref="D5:G5"/>
    <mergeCell ref="M7:N7"/>
  </mergeCells>
  <phoneticPr fontId="2" type="noConversion"/>
  <conditionalFormatting sqref="B1:B5">
    <cfRule type="duplicateValues" dxfId="18" priority="8"/>
  </conditionalFormatting>
  <conditionalFormatting sqref="G123:H1048576 G1:H112 H113 H118:H122 G113:G122">
    <cfRule type="duplicateValues" dxfId="17" priority="21"/>
  </conditionalFormatting>
  <conditionalFormatting sqref="G123:H1048576 G39:H39 G75:H75 F72:F74 G84:H84 G79:H79 G103:H112 G1:H37 G89:H92 H113 H118:H122 G113:G122">
    <cfRule type="duplicateValues" dxfId="16" priority="19"/>
  </conditionalFormatting>
  <conditionalFormatting sqref="G123:H1048576 H118:H122">
    <cfRule type="duplicateValues" dxfId="15" priority="20"/>
  </conditionalFormatting>
  <conditionalFormatting sqref="P123:P1048576">
    <cfRule type="cellIs" dxfId="14" priority="18" operator="greaterThan">
      <formula>50</formula>
    </cfRule>
  </conditionalFormatting>
  <pageMargins left="0.70866141732283472" right="0.70866141732283472" top="0.74803149606299213" bottom="0.74803149606299213" header="0.31496062992125984" footer="0.31496062992125984"/>
  <pageSetup paperSize="9" scale="65" fitToHeight="0" orientation="landscape" r:id="rId1"/>
  <headerFooter>
    <oddFooter>&amp;C&amp;P /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118F8-377E-4609-B3A0-A126026BCB25}">
  <sheetPr filterMode="1">
    <tabColor rgb="FFF9DCCF"/>
    <pageSetUpPr fitToPage="1"/>
  </sheetPr>
  <dimension ref="A1:M727"/>
  <sheetViews>
    <sheetView zoomScale="79" zoomScaleNormal="79" workbookViewId="0">
      <pane ySplit="7" topLeftCell="A318" activePane="bottomLeft" state="frozen"/>
      <selection pane="bottomLeft" activeCell="F21" sqref="F21"/>
      <selection activeCell="C7" sqref="C7:F7"/>
    </sheetView>
  </sheetViews>
  <sheetFormatPr defaultColWidth="11.42578125" defaultRowHeight="14.45"/>
  <cols>
    <col min="1" max="1" width="20.7109375" customWidth="1"/>
    <col min="2" max="2" width="11.7109375" customWidth="1"/>
    <col min="3" max="3" width="34.5703125" style="11" customWidth="1"/>
    <col min="4" max="4" width="33.5703125" style="11" bestFit="1" customWidth="1"/>
    <col min="5" max="5" width="18" customWidth="1"/>
    <col min="6" max="6" width="76" style="11" bestFit="1" customWidth="1"/>
    <col min="7" max="7" width="10.42578125" style="11" customWidth="1"/>
    <col min="8" max="8" width="8.85546875" style="11" customWidth="1"/>
    <col min="9" max="9" width="9.7109375" style="11" customWidth="1"/>
    <col min="10" max="10" width="13.85546875" style="11" bestFit="1" customWidth="1"/>
    <col min="11" max="11" width="13.85546875" style="11" hidden="1" customWidth="1"/>
    <col min="12" max="12" width="9.5703125" customWidth="1"/>
    <col min="13" max="13" width="8.5703125" bestFit="1" customWidth="1"/>
  </cols>
  <sheetData>
    <row r="1" spans="1:13" s="1" customFormat="1">
      <c r="A1" s="23" t="s">
        <v>0</v>
      </c>
      <c r="B1" s="41" t="s">
        <v>1</v>
      </c>
      <c r="C1" s="36"/>
      <c r="D1" s="12" t="s">
        <v>3</v>
      </c>
      <c r="E1" s="15">
        <v>123456789</v>
      </c>
      <c r="F1" s="11"/>
      <c r="G1"/>
      <c r="H1"/>
      <c r="I1"/>
      <c r="J1" s="11"/>
      <c r="K1" s="11"/>
      <c r="L1"/>
      <c r="M1"/>
    </row>
    <row r="2" spans="1:13">
      <c r="A2" s="24"/>
      <c r="B2" t="s">
        <v>4</v>
      </c>
      <c r="C2" s="14" t="s">
        <v>5</v>
      </c>
      <c r="D2" s="12" t="s">
        <v>6</v>
      </c>
      <c r="E2" s="25">
        <v>100999</v>
      </c>
      <c r="G2"/>
      <c r="H2"/>
      <c r="I2"/>
    </row>
    <row r="3" spans="1:13">
      <c r="A3" s="24"/>
      <c r="B3" t="s">
        <v>7</v>
      </c>
      <c r="C3" s="14" t="s">
        <v>8</v>
      </c>
      <c r="G3"/>
      <c r="H3"/>
      <c r="I3"/>
    </row>
    <row r="4" spans="1:13">
      <c r="A4" s="24"/>
      <c r="B4" t="s">
        <v>9</v>
      </c>
      <c r="C4" s="13">
        <v>45658</v>
      </c>
      <c r="E4" s="3"/>
      <c r="G4"/>
      <c r="H4"/>
      <c r="I4"/>
    </row>
    <row r="5" spans="1:13">
      <c r="A5" s="24"/>
      <c r="B5" t="s">
        <v>10</v>
      </c>
      <c r="C5" s="13">
        <v>46022</v>
      </c>
      <c r="D5" s="74" t="s">
        <v>11</v>
      </c>
      <c r="E5" s="74"/>
      <c r="F5" s="74"/>
      <c r="G5"/>
      <c r="H5"/>
      <c r="I5"/>
    </row>
    <row r="6" spans="1:13">
      <c r="H6" s="22" t="s">
        <v>12</v>
      </c>
    </row>
    <row r="7" spans="1:13" s="7" customFormat="1" ht="39.6" customHeight="1">
      <c r="A7" s="16" t="s">
        <v>13</v>
      </c>
      <c r="B7" s="38" t="s">
        <v>14</v>
      </c>
      <c r="C7" s="27" t="s">
        <v>15</v>
      </c>
      <c r="D7" s="27" t="s">
        <v>16</v>
      </c>
      <c r="E7" s="17" t="s">
        <v>580</v>
      </c>
      <c r="F7" s="27" t="s">
        <v>19</v>
      </c>
      <c r="G7" s="21" t="s">
        <v>581</v>
      </c>
      <c r="H7" s="21" t="s">
        <v>23</v>
      </c>
      <c r="I7" s="21" t="s">
        <v>24</v>
      </c>
      <c r="J7" s="27" t="s">
        <v>582</v>
      </c>
      <c r="K7" s="27" t="s">
        <v>582</v>
      </c>
      <c r="L7" s="18" t="s">
        <v>26</v>
      </c>
    </row>
    <row r="8" spans="1:13" hidden="1">
      <c r="A8" s="4"/>
      <c r="B8" s="42" t="s">
        <v>583</v>
      </c>
      <c r="C8" s="10" t="s">
        <v>220</v>
      </c>
      <c r="D8" s="10" t="s">
        <v>584</v>
      </c>
      <c r="E8" s="4"/>
      <c r="F8" s="26" t="s">
        <v>585</v>
      </c>
      <c r="G8" s="10"/>
      <c r="H8" s="10"/>
      <c r="I8" s="20">
        <f t="shared" ref="I8:I11" si="0">G8+H8</f>
        <v>0</v>
      </c>
      <c r="J8" s="10" t="s">
        <v>586</v>
      </c>
      <c r="K8" s="10">
        <v>1</v>
      </c>
      <c r="L8" s="4"/>
    </row>
    <row r="9" spans="1:13" hidden="1">
      <c r="A9" s="4"/>
      <c r="B9" s="42" t="s">
        <v>583</v>
      </c>
      <c r="C9" s="10" t="s">
        <v>220</v>
      </c>
      <c r="D9" s="10" t="s">
        <v>584</v>
      </c>
      <c r="E9" s="4"/>
      <c r="F9" s="37" t="s">
        <v>587</v>
      </c>
      <c r="G9" s="10"/>
      <c r="H9" s="10"/>
      <c r="I9" s="20">
        <f t="shared" si="0"/>
        <v>0</v>
      </c>
      <c r="J9" s="10" t="s">
        <v>586</v>
      </c>
      <c r="K9" s="10">
        <v>1</v>
      </c>
      <c r="L9" s="4"/>
    </row>
    <row r="10" spans="1:13" hidden="1">
      <c r="A10" s="4"/>
      <c r="B10" s="42" t="s">
        <v>583</v>
      </c>
      <c r="C10" s="10" t="s">
        <v>220</v>
      </c>
      <c r="D10" s="10" t="s">
        <v>584</v>
      </c>
      <c r="E10" s="4"/>
      <c r="F10" s="37" t="s">
        <v>588</v>
      </c>
      <c r="G10" s="10"/>
      <c r="H10" s="10"/>
      <c r="I10" s="20">
        <f t="shared" si="0"/>
        <v>0</v>
      </c>
      <c r="J10" s="10" t="s">
        <v>586</v>
      </c>
      <c r="K10" s="10">
        <v>1</v>
      </c>
      <c r="L10" s="4"/>
    </row>
    <row r="11" spans="1:13" hidden="1">
      <c r="A11" s="4"/>
      <c r="B11" s="42" t="s">
        <v>583</v>
      </c>
      <c r="C11" s="10" t="s">
        <v>220</v>
      </c>
      <c r="D11" s="10" t="s">
        <v>584</v>
      </c>
      <c r="E11" s="4"/>
      <c r="F11" s="26" t="s">
        <v>589</v>
      </c>
      <c r="G11" s="10"/>
      <c r="H11" s="10"/>
      <c r="I11" s="20">
        <f t="shared" si="0"/>
        <v>0</v>
      </c>
      <c r="J11" s="10" t="s">
        <v>586</v>
      </c>
      <c r="K11" s="10">
        <v>1</v>
      </c>
      <c r="L11" s="4"/>
    </row>
    <row r="12" spans="1:13" hidden="1">
      <c r="A12" s="4"/>
      <c r="B12" s="42" t="s">
        <v>583</v>
      </c>
      <c r="C12" s="10" t="s">
        <v>590</v>
      </c>
      <c r="D12" s="10" t="s">
        <v>591</v>
      </c>
      <c r="E12" s="4"/>
      <c r="F12" s="10" t="s">
        <v>592</v>
      </c>
      <c r="G12" s="10"/>
      <c r="H12" s="10"/>
      <c r="I12" s="20">
        <f t="shared" ref="I12:I75" si="1">G12+H12</f>
        <v>0</v>
      </c>
      <c r="J12" s="10" t="s">
        <v>593</v>
      </c>
      <c r="K12" s="10" t="s">
        <v>593</v>
      </c>
      <c r="L12" s="4"/>
    </row>
    <row r="13" spans="1:13" hidden="1">
      <c r="A13" s="4"/>
      <c r="B13" s="4" t="s">
        <v>583</v>
      </c>
      <c r="C13" s="26" t="s">
        <v>594</v>
      </c>
      <c r="D13" s="10" t="s">
        <v>595</v>
      </c>
      <c r="E13" s="19"/>
      <c r="F13" s="10" t="s">
        <v>596</v>
      </c>
      <c r="G13" s="19"/>
      <c r="H13" s="4"/>
      <c r="I13" s="20">
        <f t="shared" si="1"/>
        <v>0</v>
      </c>
      <c r="J13" s="10" t="s">
        <v>586</v>
      </c>
      <c r="K13" s="10">
        <v>1</v>
      </c>
      <c r="L13" s="4"/>
    </row>
    <row r="14" spans="1:13" hidden="1">
      <c r="A14" s="4"/>
      <c r="B14" s="4" t="s">
        <v>583</v>
      </c>
      <c r="C14" s="26" t="s">
        <v>594</v>
      </c>
      <c r="D14" s="10" t="s">
        <v>597</v>
      </c>
      <c r="E14" s="4"/>
      <c r="F14" s="10" t="s">
        <v>598</v>
      </c>
      <c r="G14" s="10"/>
      <c r="H14" s="10"/>
      <c r="I14" s="20">
        <f t="shared" si="1"/>
        <v>0</v>
      </c>
      <c r="J14" s="10" t="s">
        <v>586</v>
      </c>
      <c r="K14" s="10">
        <v>1</v>
      </c>
      <c r="L14" s="4"/>
    </row>
    <row r="15" spans="1:13" hidden="1">
      <c r="A15" s="4"/>
      <c r="B15" s="4" t="s">
        <v>583</v>
      </c>
      <c r="C15" s="26" t="s">
        <v>594</v>
      </c>
      <c r="D15" s="10" t="s">
        <v>599</v>
      </c>
      <c r="E15" s="4"/>
      <c r="F15" s="10" t="s">
        <v>600</v>
      </c>
      <c r="G15" s="10"/>
      <c r="H15" s="10"/>
      <c r="I15" s="20">
        <f t="shared" si="1"/>
        <v>0</v>
      </c>
      <c r="J15" s="10" t="s">
        <v>586</v>
      </c>
      <c r="K15" s="10">
        <v>1</v>
      </c>
      <c r="L15" s="4"/>
    </row>
    <row r="16" spans="1:13" hidden="1">
      <c r="A16" s="4"/>
      <c r="B16" s="4" t="s">
        <v>583</v>
      </c>
      <c r="C16" s="26" t="s">
        <v>594</v>
      </c>
      <c r="D16" s="10" t="s">
        <v>601</v>
      </c>
      <c r="E16" s="4"/>
      <c r="F16" s="10" t="s">
        <v>602</v>
      </c>
      <c r="G16" s="10"/>
      <c r="H16" s="10"/>
      <c r="I16" s="20">
        <f t="shared" si="1"/>
        <v>0</v>
      </c>
      <c r="J16" s="10" t="s">
        <v>586</v>
      </c>
      <c r="K16" s="10">
        <v>1</v>
      </c>
      <c r="L16" s="4"/>
    </row>
    <row r="17" spans="1:12" hidden="1">
      <c r="A17" s="4"/>
      <c r="B17" s="42" t="s">
        <v>583</v>
      </c>
      <c r="C17" s="10" t="s">
        <v>220</v>
      </c>
      <c r="D17" s="10" t="s">
        <v>584</v>
      </c>
      <c r="E17" s="4"/>
      <c r="F17" s="10" t="s">
        <v>603</v>
      </c>
      <c r="G17" s="10"/>
      <c r="H17" s="10"/>
      <c r="I17" s="20">
        <f t="shared" si="1"/>
        <v>0</v>
      </c>
      <c r="J17" s="10" t="s">
        <v>586</v>
      </c>
      <c r="K17" s="10">
        <v>1</v>
      </c>
      <c r="L17" s="4"/>
    </row>
    <row r="18" spans="1:12" hidden="1">
      <c r="A18" s="4"/>
      <c r="B18" s="42" t="s">
        <v>583</v>
      </c>
      <c r="C18" s="10" t="s">
        <v>220</v>
      </c>
      <c r="D18" s="10" t="s">
        <v>584</v>
      </c>
      <c r="E18" s="4"/>
      <c r="F18" s="10" t="s">
        <v>604</v>
      </c>
      <c r="G18" s="10"/>
      <c r="H18" s="10"/>
      <c r="I18" s="20">
        <f t="shared" si="1"/>
        <v>0</v>
      </c>
      <c r="J18" s="10" t="s">
        <v>586</v>
      </c>
      <c r="K18" s="10">
        <v>1</v>
      </c>
      <c r="L18" s="4"/>
    </row>
    <row r="19" spans="1:12" hidden="1">
      <c r="A19" s="4"/>
      <c r="B19" s="42" t="s">
        <v>583</v>
      </c>
      <c r="C19" s="10" t="s">
        <v>220</v>
      </c>
      <c r="D19" s="10" t="s">
        <v>584</v>
      </c>
      <c r="E19" s="4"/>
      <c r="F19" s="10" t="s">
        <v>605</v>
      </c>
      <c r="G19" s="10"/>
      <c r="H19" s="10"/>
      <c r="I19" s="20">
        <f t="shared" si="1"/>
        <v>0</v>
      </c>
      <c r="J19" s="10" t="s">
        <v>586</v>
      </c>
      <c r="K19" s="10">
        <v>1</v>
      </c>
      <c r="L19" s="4"/>
    </row>
    <row r="20" spans="1:12" hidden="1">
      <c r="A20" s="4"/>
      <c r="B20" s="34" t="s">
        <v>583</v>
      </c>
      <c r="C20" s="10" t="s">
        <v>36</v>
      </c>
      <c r="D20" s="10" t="s">
        <v>37</v>
      </c>
      <c r="E20" s="4"/>
      <c r="F20" s="10" t="s">
        <v>606</v>
      </c>
      <c r="G20" s="10"/>
      <c r="H20" s="10"/>
      <c r="I20" s="20">
        <f t="shared" si="1"/>
        <v>0</v>
      </c>
      <c r="J20" s="10" t="s">
        <v>586</v>
      </c>
      <c r="K20" s="10">
        <v>1</v>
      </c>
      <c r="L20" s="4"/>
    </row>
    <row r="21" spans="1:12" hidden="1">
      <c r="A21" s="4"/>
      <c r="B21" s="34" t="s">
        <v>583</v>
      </c>
      <c r="C21" s="10" t="s">
        <v>36</v>
      </c>
      <c r="D21" s="10" t="s">
        <v>37</v>
      </c>
      <c r="E21" s="4"/>
      <c r="F21" s="10" t="s">
        <v>607</v>
      </c>
      <c r="G21" s="10"/>
      <c r="H21" s="10"/>
      <c r="I21" s="20">
        <f t="shared" si="1"/>
        <v>0</v>
      </c>
      <c r="J21" s="10" t="s">
        <v>586</v>
      </c>
      <c r="K21" s="10">
        <v>1</v>
      </c>
      <c r="L21" s="4"/>
    </row>
    <row r="22" spans="1:12" hidden="1">
      <c r="A22" s="4"/>
      <c r="B22" s="34" t="s">
        <v>583</v>
      </c>
      <c r="C22" s="10" t="s">
        <v>36</v>
      </c>
      <c r="D22" s="10" t="s">
        <v>37</v>
      </c>
      <c r="E22" s="4"/>
      <c r="F22" s="10" t="s">
        <v>39</v>
      </c>
      <c r="G22" s="10"/>
      <c r="H22" s="10"/>
      <c r="I22" s="20">
        <f t="shared" si="1"/>
        <v>0</v>
      </c>
      <c r="J22" s="10" t="s">
        <v>586</v>
      </c>
      <c r="K22" s="10">
        <v>1</v>
      </c>
      <c r="L22" s="4"/>
    </row>
    <row r="23" spans="1:12" hidden="1">
      <c r="A23" s="4"/>
      <c r="B23" s="34" t="s">
        <v>583</v>
      </c>
      <c r="C23" s="10" t="s">
        <v>36</v>
      </c>
      <c r="D23" s="10" t="s">
        <v>37</v>
      </c>
      <c r="E23" s="4"/>
      <c r="F23" s="10" t="s">
        <v>608</v>
      </c>
      <c r="G23" s="10"/>
      <c r="H23" s="10"/>
      <c r="I23" s="20">
        <f t="shared" si="1"/>
        <v>0</v>
      </c>
      <c r="J23" s="10" t="s">
        <v>586</v>
      </c>
      <c r="K23" s="10">
        <v>1</v>
      </c>
      <c r="L23" s="4"/>
    </row>
    <row r="24" spans="1:12" hidden="1">
      <c r="A24" s="4"/>
      <c r="B24" s="34" t="s">
        <v>583</v>
      </c>
      <c r="C24" s="10" t="s">
        <v>36</v>
      </c>
      <c r="D24" s="10" t="s">
        <v>37</v>
      </c>
      <c r="E24" s="4"/>
      <c r="F24" s="10" t="s">
        <v>609</v>
      </c>
      <c r="G24" s="10"/>
      <c r="H24" s="10"/>
      <c r="I24" s="20">
        <f t="shared" si="1"/>
        <v>0</v>
      </c>
      <c r="J24" s="10" t="s">
        <v>586</v>
      </c>
      <c r="K24" s="10">
        <v>1</v>
      </c>
      <c r="L24" s="4"/>
    </row>
    <row r="25" spans="1:12" hidden="1">
      <c r="A25" s="4"/>
      <c r="B25" s="4" t="s">
        <v>583</v>
      </c>
      <c r="C25" s="10" t="s">
        <v>68</v>
      </c>
      <c r="D25" s="10" t="s">
        <v>610</v>
      </c>
      <c r="E25" s="4"/>
      <c r="F25" s="10" t="s">
        <v>611</v>
      </c>
      <c r="G25" s="19"/>
      <c r="H25" s="19"/>
      <c r="I25" s="20">
        <f t="shared" si="1"/>
        <v>0</v>
      </c>
      <c r="J25" s="10" t="s">
        <v>586</v>
      </c>
      <c r="K25" s="10">
        <v>1</v>
      </c>
      <c r="L25" s="5"/>
    </row>
    <row r="26" spans="1:12" hidden="1">
      <c r="A26" s="4"/>
      <c r="B26" s="42" t="s">
        <v>583</v>
      </c>
      <c r="C26" s="10" t="s">
        <v>220</v>
      </c>
      <c r="D26" s="10" t="s">
        <v>584</v>
      </c>
      <c r="E26" s="4"/>
      <c r="F26" s="10" t="s">
        <v>612</v>
      </c>
      <c r="G26" s="10"/>
      <c r="H26" s="10"/>
      <c r="I26" s="20">
        <f t="shared" si="1"/>
        <v>0</v>
      </c>
      <c r="J26" s="10" t="s">
        <v>586</v>
      </c>
      <c r="K26" s="10">
        <v>1</v>
      </c>
      <c r="L26" s="4"/>
    </row>
    <row r="27" spans="1:12" hidden="1">
      <c r="A27" s="4"/>
      <c r="B27" s="42" t="s">
        <v>583</v>
      </c>
      <c r="C27" s="10" t="s">
        <v>220</v>
      </c>
      <c r="D27" s="10" t="s">
        <v>584</v>
      </c>
      <c r="E27" s="4"/>
      <c r="F27" s="10" t="s">
        <v>613</v>
      </c>
      <c r="G27" s="10"/>
      <c r="H27" s="10"/>
      <c r="I27" s="20">
        <f t="shared" si="1"/>
        <v>0</v>
      </c>
      <c r="J27" s="10" t="s">
        <v>586</v>
      </c>
      <c r="K27" s="10">
        <v>1</v>
      </c>
      <c r="L27" s="4"/>
    </row>
    <row r="28" spans="1:12" hidden="1">
      <c r="A28" s="4"/>
      <c r="B28" s="4" t="s">
        <v>583</v>
      </c>
      <c r="C28" s="10" t="s">
        <v>68</v>
      </c>
      <c r="D28" s="10" t="s">
        <v>614</v>
      </c>
      <c r="E28" s="4"/>
      <c r="F28" s="10" t="s">
        <v>615</v>
      </c>
      <c r="G28" s="19"/>
      <c r="H28" s="19"/>
      <c r="I28" s="20">
        <f t="shared" si="1"/>
        <v>0</v>
      </c>
      <c r="J28" s="10" t="s">
        <v>586</v>
      </c>
      <c r="K28" s="10">
        <v>1</v>
      </c>
      <c r="L28" s="5"/>
    </row>
    <row r="29" spans="1:12" hidden="1">
      <c r="A29" s="4"/>
      <c r="B29" s="4" t="s">
        <v>583</v>
      </c>
      <c r="C29" s="10" t="s">
        <v>68</v>
      </c>
      <c r="D29" s="10" t="s">
        <v>614</v>
      </c>
      <c r="E29" s="4"/>
      <c r="F29" s="10" t="s">
        <v>616</v>
      </c>
      <c r="G29" s="19"/>
      <c r="H29" s="19"/>
      <c r="I29" s="20">
        <f t="shared" si="1"/>
        <v>0</v>
      </c>
      <c r="J29" s="10" t="s">
        <v>586</v>
      </c>
      <c r="K29" s="10">
        <v>1</v>
      </c>
      <c r="L29" s="5"/>
    </row>
    <row r="30" spans="1:12" hidden="1">
      <c r="A30" s="4"/>
      <c r="B30" s="4" t="s">
        <v>583</v>
      </c>
      <c r="C30" s="10" t="s">
        <v>68</v>
      </c>
      <c r="D30" s="10" t="s">
        <v>614</v>
      </c>
      <c r="E30" s="4"/>
      <c r="F30" s="10" t="s">
        <v>617</v>
      </c>
      <c r="G30" s="19"/>
      <c r="H30" s="19"/>
      <c r="I30" s="20">
        <f t="shared" si="1"/>
        <v>0</v>
      </c>
      <c r="J30" s="10" t="s">
        <v>586</v>
      </c>
      <c r="K30" s="10">
        <v>1</v>
      </c>
      <c r="L30" s="5"/>
    </row>
    <row r="31" spans="1:12" hidden="1">
      <c r="A31" s="4"/>
      <c r="B31" s="4" t="s">
        <v>583</v>
      </c>
      <c r="C31" s="10" t="s">
        <v>68</v>
      </c>
      <c r="D31" s="10" t="s">
        <v>614</v>
      </c>
      <c r="E31" s="4"/>
      <c r="F31" s="10" t="s">
        <v>618</v>
      </c>
      <c r="G31" s="19"/>
      <c r="H31" s="19"/>
      <c r="I31" s="20">
        <f t="shared" si="1"/>
        <v>0</v>
      </c>
      <c r="J31" s="10" t="s">
        <v>586</v>
      </c>
      <c r="K31" s="10">
        <v>1</v>
      </c>
      <c r="L31" s="5"/>
    </row>
    <row r="32" spans="1:12" hidden="1">
      <c r="A32" s="4"/>
      <c r="B32" s="4" t="s">
        <v>583</v>
      </c>
      <c r="C32" s="10" t="s">
        <v>68</v>
      </c>
      <c r="D32" s="10" t="s">
        <v>614</v>
      </c>
      <c r="E32" s="4"/>
      <c r="F32" s="10" t="s">
        <v>619</v>
      </c>
      <c r="G32" s="19"/>
      <c r="H32" s="19"/>
      <c r="I32" s="20">
        <f t="shared" si="1"/>
        <v>0</v>
      </c>
      <c r="J32" s="10" t="s">
        <v>586</v>
      </c>
      <c r="K32" s="10">
        <v>1</v>
      </c>
      <c r="L32" s="5"/>
    </row>
    <row r="33" spans="1:12" hidden="1">
      <c r="A33" s="4"/>
      <c r="B33" s="4" t="s">
        <v>583</v>
      </c>
      <c r="C33" s="10" t="s">
        <v>68</v>
      </c>
      <c r="D33" s="10" t="s">
        <v>614</v>
      </c>
      <c r="E33" s="4"/>
      <c r="F33" s="10" t="s">
        <v>620</v>
      </c>
      <c r="G33" s="19"/>
      <c r="H33" s="19"/>
      <c r="I33" s="20">
        <f t="shared" si="1"/>
        <v>0</v>
      </c>
      <c r="J33" s="10" t="s">
        <v>586</v>
      </c>
      <c r="K33" s="10">
        <v>1</v>
      </c>
      <c r="L33" s="5"/>
    </row>
    <row r="34" spans="1:12" hidden="1">
      <c r="A34" s="4"/>
      <c r="B34" s="34" t="s">
        <v>583</v>
      </c>
      <c r="C34" s="10" t="s">
        <v>220</v>
      </c>
      <c r="D34" s="10" t="s">
        <v>621</v>
      </c>
      <c r="E34" s="4">
        <v>20011293</v>
      </c>
      <c r="F34" s="10" t="s">
        <v>551</v>
      </c>
      <c r="G34" s="10"/>
      <c r="H34" s="10"/>
      <c r="I34" s="20">
        <f t="shared" si="1"/>
        <v>0</v>
      </c>
      <c r="J34" s="10" t="s">
        <v>235</v>
      </c>
      <c r="K34" s="10">
        <v>1</v>
      </c>
      <c r="L34" s="4"/>
    </row>
    <row r="35" spans="1:12" hidden="1">
      <c r="A35" s="4"/>
      <c r="B35" s="4" t="s">
        <v>583</v>
      </c>
      <c r="C35" s="10" t="s">
        <v>68</v>
      </c>
      <c r="D35" s="10" t="s">
        <v>622</v>
      </c>
      <c r="E35" s="4"/>
      <c r="F35" s="10" t="s">
        <v>623</v>
      </c>
      <c r="G35" s="19"/>
      <c r="H35" s="19"/>
      <c r="I35" s="20">
        <f t="shared" si="1"/>
        <v>0</v>
      </c>
      <c r="J35" s="10" t="s">
        <v>586</v>
      </c>
      <c r="K35" s="10">
        <v>1</v>
      </c>
      <c r="L35" s="5"/>
    </row>
    <row r="36" spans="1:12" hidden="1">
      <c r="A36" s="4"/>
      <c r="B36" s="4" t="s">
        <v>583</v>
      </c>
      <c r="C36" s="10" t="s">
        <v>68</v>
      </c>
      <c r="D36" s="10" t="s">
        <v>624</v>
      </c>
      <c r="E36" s="4"/>
      <c r="F36" s="10" t="s">
        <v>625</v>
      </c>
      <c r="G36" s="19"/>
      <c r="H36" s="19"/>
      <c r="I36" s="20">
        <f t="shared" si="1"/>
        <v>0</v>
      </c>
      <c r="J36" s="10" t="s">
        <v>586</v>
      </c>
      <c r="K36" s="10">
        <v>1</v>
      </c>
      <c r="L36" s="5"/>
    </row>
    <row r="37" spans="1:12" hidden="1">
      <c r="A37" s="4"/>
      <c r="B37" s="34" t="s">
        <v>583</v>
      </c>
      <c r="C37" s="10" t="s">
        <v>220</v>
      </c>
      <c r="D37" s="10" t="s">
        <v>227</v>
      </c>
      <c r="E37" s="4">
        <v>20011552</v>
      </c>
      <c r="F37" s="10" t="s">
        <v>228</v>
      </c>
      <c r="G37" s="10"/>
      <c r="H37" s="10"/>
      <c r="I37" s="20">
        <f t="shared" si="1"/>
        <v>0</v>
      </c>
      <c r="J37" s="10" t="s">
        <v>235</v>
      </c>
      <c r="K37" s="10">
        <v>1</v>
      </c>
      <c r="L37" s="4"/>
    </row>
    <row r="38" spans="1:12" hidden="1">
      <c r="A38" s="4"/>
      <c r="B38" s="34" t="s">
        <v>583</v>
      </c>
      <c r="C38" s="10" t="s">
        <v>220</v>
      </c>
      <c r="D38" s="10" t="s">
        <v>227</v>
      </c>
      <c r="E38" s="4">
        <v>20011554</v>
      </c>
      <c r="F38" s="10" t="s">
        <v>232</v>
      </c>
      <c r="G38" s="10"/>
      <c r="H38" s="10"/>
      <c r="I38" s="20">
        <f t="shared" si="1"/>
        <v>0</v>
      </c>
      <c r="J38" s="10" t="s">
        <v>235</v>
      </c>
      <c r="K38" s="10">
        <v>1</v>
      </c>
      <c r="L38" s="4"/>
    </row>
    <row r="39" spans="1:12" hidden="1">
      <c r="A39" s="4"/>
      <c r="B39" s="34" t="s">
        <v>583</v>
      </c>
      <c r="C39" s="10" t="s">
        <v>220</v>
      </c>
      <c r="D39" s="10" t="s">
        <v>221</v>
      </c>
      <c r="E39" s="4">
        <v>10035718</v>
      </c>
      <c r="F39" s="10" t="s">
        <v>626</v>
      </c>
      <c r="G39" s="10"/>
      <c r="H39" s="10"/>
      <c r="I39" s="20">
        <f t="shared" si="1"/>
        <v>0</v>
      </c>
      <c r="J39" s="10" t="s">
        <v>627</v>
      </c>
      <c r="K39" s="10">
        <v>1</v>
      </c>
      <c r="L39" s="4"/>
    </row>
    <row r="40" spans="1:12" hidden="1">
      <c r="A40" s="4"/>
      <c r="B40" s="34" t="s">
        <v>583</v>
      </c>
      <c r="C40" s="10" t="s">
        <v>220</v>
      </c>
      <c r="D40" s="10" t="s">
        <v>221</v>
      </c>
      <c r="E40" s="4">
        <v>10038554</v>
      </c>
      <c r="F40" s="10" t="s">
        <v>223</v>
      </c>
      <c r="G40" s="10"/>
      <c r="H40" s="10"/>
      <c r="I40" s="20">
        <f t="shared" si="1"/>
        <v>0</v>
      </c>
      <c r="J40" s="10" t="s">
        <v>627</v>
      </c>
      <c r="K40" s="10">
        <v>1</v>
      </c>
      <c r="L40" s="4"/>
    </row>
    <row r="41" spans="1:12" hidden="1">
      <c r="A41" s="4"/>
      <c r="B41" s="4" t="s">
        <v>628</v>
      </c>
      <c r="C41" s="10" t="s">
        <v>629</v>
      </c>
      <c r="D41" s="10" t="s">
        <v>630</v>
      </c>
      <c r="E41" s="4"/>
      <c r="F41" s="10" t="s">
        <v>631</v>
      </c>
      <c r="G41" s="10"/>
      <c r="H41" s="10"/>
      <c r="I41" s="20">
        <f t="shared" si="1"/>
        <v>0</v>
      </c>
      <c r="J41" s="10" t="s">
        <v>632</v>
      </c>
      <c r="K41" s="10">
        <v>1</v>
      </c>
      <c r="L41" s="4"/>
    </row>
    <row r="42" spans="1:12" hidden="1">
      <c r="A42" s="4"/>
      <c r="B42" s="4" t="s">
        <v>633</v>
      </c>
      <c r="C42" s="10" t="s">
        <v>629</v>
      </c>
      <c r="D42" s="10" t="s">
        <v>630</v>
      </c>
      <c r="E42" s="4"/>
      <c r="F42" s="10" t="s">
        <v>634</v>
      </c>
      <c r="G42" s="10"/>
      <c r="H42" s="10"/>
      <c r="I42" s="20">
        <f t="shared" si="1"/>
        <v>0</v>
      </c>
      <c r="J42" s="10" t="s">
        <v>632</v>
      </c>
      <c r="K42" s="10">
        <v>1</v>
      </c>
      <c r="L42" s="4"/>
    </row>
    <row r="43" spans="1:12" hidden="1">
      <c r="A43" s="4"/>
      <c r="B43" s="4" t="s">
        <v>583</v>
      </c>
      <c r="C43" s="10" t="s">
        <v>68</v>
      </c>
      <c r="D43" s="10" t="s">
        <v>635</v>
      </c>
      <c r="E43" s="4"/>
      <c r="F43" s="10" t="s">
        <v>636</v>
      </c>
      <c r="G43" s="19"/>
      <c r="H43" s="19"/>
      <c r="I43" s="20">
        <f t="shared" si="1"/>
        <v>0</v>
      </c>
      <c r="J43" s="10" t="s">
        <v>586</v>
      </c>
      <c r="K43" s="10">
        <v>1</v>
      </c>
      <c r="L43" s="5"/>
    </row>
    <row r="44" spans="1:12" hidden="1">
      <c r="A44" s="4"/>
      <c r="B44" s="4" t="s">
        <v>637</v>
      </c>
      <c r="C44" s="10" t="s">
        <v>92</v>
      </c>
      <c r="D44" s="10" t="s">
        <v>93</v>
      </c>
      <c r="E44" s="4"/>
      <c r="F44" s="10" t="s">
        <v>280</v>
      </c>
      <c r="G44" s="19"/>
      <c r="H44" s="10"/>
      <c r="I44" s="20">
        <f t="shared" si="1"/>
        <v>0</v>
      </c>
      <c r="J44" s="10" t="s">
        <v>586</v>
      </c>
      <c r="K44" s="10">
        <v>1</v>
      </c>
      <c r="L44" s="4"/>
    </row>
    <row r="45" spans="1:12" hidden="1">
      <c r="A45" s="4"/>
      <c r="B45" s="4" t="s">
        <v>638</v>
      </c>
      <c r="C45" s="10" t="s">
        <v>92</v>
      </c>
      <c r="D45" s="10" t="s">
        <v>117</v>
      </c>
      <c r="E45" s="4"/>
      <c r="F45" s="10" t="s">
        <v>639</v>
      </c>
      <c r="G45" s="19"/>
      <c r="H45" s="10"/>
      <c r="I45" s="20">
        <f t="shared" si="1"/>
        <v>0</v>
      </c>
      <c r="J45" s="10" t="s">
        <v>640</v>
      </c>
      <c r="K45" s="10">
        <v>1</v>
      </c>
      <c r="L45" s="4"/>
    </row>
    <row r="46" spans="1:12" hidden="1">
      <c r="A46" s="4"/>
      <c r="B46" s="4" t="s">
        <v>641</v>
      </c>
      <c r="C46" s="10" t="s">
        <v>92</v>
      </c>
      <c r="D46" s="10" t="s">
        <v>108</v>
      </c>
      <c r="E46" s="4"/>
      <c r="F46" s="10" t="s">
        <v>642</v>
      </c>
      <c r="G46" s="19"/>
      <c r="H46" s="19"/>
      <c r="I46" s="20">
        <f t="shared" si="1"/>
        <v>0</v>
      </c>
      <c r="J46" s="10" t="s">
        <v>640</v>
      </c>
      <c r="K46" s="10">
        <v>1</v>
      </c>
      <c r="L46" s="5"/>
    </row>
    <row r="47" spans="1:12" hidden="1">
      <c r="A47" s="4"/>
      <c r="B47" s="4" t="s">
        <v>583</v>
      </c>
      <c r="C47" s="10" t="s">
        <v>68</v>
      </c>
      <c r="D47" s="10" t="s">
        <v>635</v>
      </c>
      <c r="E47" s="4"/>
      <c r="F47" s="10" t="s">
        <v>643</v>
      </c>
      <c r="G47" s="19"/>
      <c r="H47" s="19"/>
      <c r="I47" s="20">
        <f t="shared" si="1"/>
        <v>0</v>
      </c>
      <c r="J47" s="10" t="s">
        <v>586</v>
      </c>
      <c r="K47" s="10">
        <v>1</v>
      </c>
      <c r="L47" s="5"/>
    </row>
    <row r="48" spans="1:12" hidden="1">
      <c r="A48" s="4"/>
      <c r="B48" s="4" t="s">
        <v>583</v>
      </c>
      <c r="C48" s="10" t="s">
        <v>68</v>
      </c>
      <c r="D48" s="10" t="s">
        <v>635</v>
      </c>
      <c r="E48" s="4"/>
      <c r="F48" s="10" t="s">
        <v>644</v>
      </c>
      <c r="G48" s="19"/>
      <c r="H48" s="19"/>
      <c r="I48" s="20">
        <f t="shared" si="1"/>
        <v>0</v>
      </c>
      <c r="J48" s="10" t="s">
        <v>586</v>
      </c>
      <c r="K48" s="10">
        <v>1</v>
      </c>
      <c r="L48" s="5"/>
    </row>
    <row r="49" spans="1:12" hidden="1">
      <c r="A49" s="4"/>
      <c r="B49" s="4" t="s">
        <v>583</v>
      </c>
      <c r="C49" s="10" t="s">
        <v>68</v>
      </c>
      <c r="D49" s="10" t="s">
        <v>635</v>
      </c>
      <c r="E49" s="4"/>
      <c r="F49" s="10" t="s">
        <v>645</v>
      </c>
      <c r="G49" s="19"/>
      <c r="H49" s="19"/>
      <c r="I49" s="20">
        <f t="shared" si="1"/>
        <v>0</v>
      </c>
      <c r="J49" s="10" t="s">
        <v>586</v>
      </c>
      <c r="K49" s="10">
        <v>1</v>
      </c>
      <c r="L49" s="5"/>
    </row>
    <row r="50" spans="1:12" hidden="1">
      <c r="A50" s="4"/>
      <c r="B50" s="4" t="s">
        <v>583</v>
      </c>
      <c r="C50" s="10" t="s">
        <v>68</v>
      </c>
      <c r="D50" s="10" t="s">
        <v>635</v>
      </c>
      <c r="E50" s="4"/>
      <c r="F50" s="10" t="s">
        <v>646</v>
      </c>
      <c r="G50" s="19"/>
      <c r="H50" s="19"/>
      <c r="I50" s="20">
        <f t="shared" si="1"/>
        <v>0</v>
      </c>
      <c r="J50" s="10" t="s">
        <v>586</v>
      </c>
      <c r="K50" s="10">
        <v>1</v>
      </c>
      <c r="L50" s="5"/>
    </row>
    <row r="51" spans="1:12" hidden="1">
      <c r="A51" s="4"/>
      <c r="B51" s="4" t="s">
        <v>647</v>
      </c>
      <c r="C51" s="10" t="s">
        <v>629</v>
      </c>
      <c r="D51" s="10" t="s">
        <v>630</v>
      </c>
      <c r="E51" s="4"/>
      <c r="F51" s="10" t="s">
        <v>648</v>
      </c>
      <c r="G51" s="10"/>
      <c r="H51" s="10"/>
      <c r="I51" s="20">
        <f t="shared" si="1"/>
        <v>0</v>
      </c>
      <c r="J51" s="10" t="s">
        <v>632</v>
      </c>
      <c r="K51" s="10">
        <v>1</v>
      </c>
      <c r="L51" s="4"/>
    </row>
    <row r="52" spans="1:12" hidden="1">
      <c r="A52" s="4"/>
      <c r="B52" s="4" t="s">
        <v>649</v>
      </c>
      <c r="C52" s="10" t="s">
        <v>629</v>
      </c>
      <c r="D52" s="10" t="s">
        <v>630</v>
      </c>
      <c r="E52" s="4"/>
      <c r="F52" s="10" t="s">
        <v>650</v>
      </c>
      <c r="G52" s="10"/>
      <c r="H52" s="10"/>
      <c r="I52" s="20">
        <f t="shared" si="1"/>
        <v>0</v>
      </c>
      <c r="J52" s="10" t="s">
        <v>632</v>
      </c>
      <c r="K52" s="10">
        <v>1</v>
      </c>
      <c r="L52" s="4"/>
    </row>
    <row r="53" spans="1:12" hidden="1">
      <c r="A53" s="4"/>
      <c r="B53" s="34" t="s">
        <v>583</v>
      </c>
      <c r="C53" s="10" t="s">
        <v>629</v>
      </c>
      <c r="D53" s="10" t="s">
        <v>651</v>
      </c>
      <c r="E53" s="4"/>
      <c r="F53" s="10" t="s">
        <v>652</v>
      </c>
      <c r="G53" s="10"/>
      <c r="H53" s="10"/>
      <c r="I53" s="20">
        <f t="shared" si="1"/>
        <v>0</v>
      </c>
      <c r="J53" s="10" t="s">
        <v>632</v>
      </c>
      <c r="K53" s="10">
        <v>1</v>
      </c>
      <c r="L53" s="4"/>
    </row>
    <row r="54" spans="1:12" hidden="1">
      <c r="A54" s="4"/>
      <c r="B54" s="34" t="s">
        <v>583</v>
      </c>
      <c r="C54" s="10" t="s">
        <v>629</v>
      </c>
      <c r="D54" s="10" t="s">
        <v>651</v>
      </c>
      <c r="E54" s="4"/>
      <c r="F54" s="10" t="s">
        <v>653</v>
      </c>
      <c r="G54" s="10"/>
      <c r="H54" s="10"/>
      <c r="I54" s="20">
        <f t="shared" si="1"/>
        <v>0</v>
      </c>
      <c r="J54" s="10" t="s">
        <v>632</v>
      </c>
      <c r="K54" s="10">
        <v>1</v>
      </c>
      <c r="L54" s="4"/>
    </row>
    <row r="55" spans="1:12" hidden="1">
      <c r="A55" s="4"/>
      <c r="B55" s="34" t="s">
        <v>583</v>
      </c>
      <c r="C55" s="10" t="s">
        <v>629</v>
      </c>
      <c r="D55" s="10" t="s">
        <v>651</v>
      </c>
      <c r="E55" s="4"/>
      <c r="F55" s="10" t="s">
        <v>654</v>
      </c>
      <c r="G55" s="10"/>
      <c r="H55" s="10"/>
      <c r="I55" s="20">
        <f t="shared" si="1"/>
        <v>0</v>
      </c>
      <c r="J55" s="10" t="s">
        <v>632</v>
      </c>
      <c r="K55" s="10">
        <v>1</v>
      </c>
      <c r="L55" s="4"/>
    </row>
    <row r="56" spans="1:12" hidden="1">
      <c r="A56" s="4"/>
      <c r="B56" s="34" t="s">
        <v>583</v>
      </c>
      <c r="C56" s="10" t="s">
        <v>629</v>
      </c>
      <c r="D56" s="10" t="s">
        <v>651</v>
      </c>
      <c r="E56" s="4"/>
      <c r="F56" s="10" t="s">
        <v>655</v>
      </c>
      <c r="G56" s="10"/>
      <c r="H56" s="10"/>
      <c r="I56" s="20">
        <f t="shared" si="1"/>
        <v>0</v>
      </c>
      <c r="J56" s="10" t="s">
        <v>632</v>
      </c>
      <c r="K56" s="10">
        <v>1</v>
      </c>
      <c r="L56" s="4"/>
    </row>
    <row r="57" spans="1:12" hidden="1">
      <c r="A57" s="4"/>
      <c r="B57" s="4" t="s">
        <v>583</v>
      </c>
      <c r="C57" s="10" t="s">
        <v>68</v>
      </c>
      <c r="D57" s="10" t="s">
        <v>656</v>
      </c>
      <c r="E57" s="4"/>
      <c r="F57" s="10" t="s">
        <v>657</v>
      </c>
      <c r="G57" s="19"/>
      <c r="H57" s="19"/>
      <c r="I57" s="20">
        <f t="shared" si="1"/>
        <v>0</v>
      </c>
      <c r="J57" s="10" t="s">
        <v>586</v>
      </c>
      <c r="K57" s="10">
        <v>1</v>
      </c>
      <c r="L57" s="5"/>
    </row>
    <row r="58" spans="1:12" hidden="1">
      <c r="A58" s="4"/>
      <c r="B58" s="4" t="s">
        <v>583</v>
      </c>
      <c r="C58" s="10" t="s">
        <v>68</v>
      </c>
      <c r="D58" s="10" t="s">
        <v>656</v>
      </c>
      <c r="E58" s="4"/>
      <c r="F58" s="10" t="s">
        <v>658</v>
      </c>
      <c r="G58" s="19"/>
      <c r="H58" s="19"/>
      <c r="I58" s="20">
        <f t="shared" si="1"/>
        <v>0</v>
      </c>
      <c r="J58" s="10" t="s">
        <v>586</v>
      </c>
      <c r="K58" s="10">
        <v>1</v>
      </c>
      <c r="L58" s="5"/>
    </row>
    <row r="59" spans="1:12" hidden="1">
      <c r="A59" s="4"/>
      <c r="B59" s="34" t="s">
        <v>583</v>
      </c>
      <c r="C59" s="10" t="s">
        <v>629</v>
      </c>
      <c r="D59" s="10" t="s">
        <v>630</v>
      </c>
      <c r="E59" s="4"/>
      <c r="F59" s="10" t="s">
        <v>659</v>
      </c>
      <c r="G59" s="10"/>
      <c r="H59" s="10"/>
      <c r="I59" s="20">
        <f t="shared" si="1"/>
        <v>0</v>
      </c>
      <c r="J59" s="10" t="s">
        <v>632</v>
      </c>
      <c r="K59" s="10">
        <v>1</v>
      </c>
      <c r="L59" s="4"/>
    </row>
    <row r="60" spans="1:12" hidden="1">
      <c r="A60" s="4"/>
      <c r="B60" s="4" t="s">
        <v>583</v>
      </c>
      <c r="C60" s="10" t="s">
        <v>68</v>
      </c>
      <c r="D60" s="10" t="s">
        <v>180</v>
      </c>
      <c r="E60" s="4"/>
      <c r="F60" s="10" t="s">
        <v>660</v>
      </c>
      <c r="G60" s="19"/>
      <c r="H60" s="19"/>
      <c r="I60" s="20">
        <f t="shared" si="1"/>
        <v>0</v>
      </c>
      <c r="J60" s="10" t="s">
        <v>586</v>
      </c>
      <c r="K60" s="10">
        <v>1</v>
      </c>
      <c r="L60" s="5"/>
    </row>
    <row r="61" spans="1:12" hidden="1">
      <c r="A61" s="4"/>
      <c r="B61" s="4" t="s">
        <v>583</v>
      </c>
      <c r="C61" s="10" t="s">
        <v>68</v>
      </c>
      <c r="D61" s="10" t="s">
        <v>180</v>
      </c>
      <c r="E61" s="4"/>
      <c r="F61" s="10" t="s">
        <v>661</v>
      </c>
      <c r="G61" s="19"/>
      <c r="H61" s="19"/>
      <c r="I61" s="20">
        <f t="shared" si="1"/>
        <v>0</v>
      </c>
      <c r="J61" s="10" t="s">
        <v>586</v>
      </c>
      <c r="K61" s="10">
        <v>1</v>
      </c>
      <c r="L61" s="5"/>
    </row>
    <row r="62" spans="1:12" hidden="1">
      <c r="A62" s="4"/>
      <c r="B62" s="4" t="s">
        <v>583</v>
      </c>
      <c r="C62" s="10" t="s">
        <v>68</v>
      </c>
      <c r="D62" s="10" t="s">
        <v>174</v>
      </c>
      <c r="E62" s="4"/>
      <c r="F62" s="10" t="s">
        <v>662</v>
      </c>
      <c r="G62" s="19"/>
      <c r="H62" s="19"/>
      <c r="I62" s="20">
        <f t="shared" si="1"/>
        <v>0</v>
      </c>
      <c r="J62" s="10" t="s">
        <v>586</v>
      </c>
      <c r="K62" s="10">
        <v>1</v>
      </c>
      <c r="L62" s="5"/>
    </row>
    <row r="63" spans="1:12" hidden="1">
      <c r="A63" s="4"/>
      <c r="B63" s="4" t="s">
        <v>583</v>
      </c>
      <c r="C63" s="10" t="s">
        <v>68</v>
      </c>
      <c r="D63" s="10" t="s">
        <v>180</v>
      </c>
      <c r="E63" s="4"/>
      <c r="F63" s="10" t="s">
        <v>663</v>
      </c>
      <c r="G63" s="19"/>
      <c r="H63" s="19"/>
      <c r="I63" s="20">
        <f t="shared" si="1"/>
        <v>0</v>
      </c>
      <c r="J63" s="10" t="s">
        <v>586</v>
      </c>
      <c r="K63" s="10">
        <v>1</v>
      </c>
      <c r="L63" s="5"/>
    </row>
    <row r="64" spans="1:12" hidden="1">
      <c r="A64" s="4"/>
      <c r="B64" s="42" t="s">
        <v>583</v>
      </c>
      <c r="C64" s="10" t="s">
        <v>86</v>
      </c>
      <c r="D64" s="10" t="s">
        <v>664</v>
      </c>
      <c r="E64" s="4"/>
      <c r="F64" s="26" t="s">
        <v>665</v>
      </c>
      <c r="G64" s="10"/>
      <c r="H64" s="10"/>
      <c r="I64" s="20">
        <f t="shared" si="1"/>
        <v>0</v>
      </c>
      <c r="J64" s="10" t="s">
        <v>586</v>
      </c>
      <c r="K64" s="10">
        <v>1</v>
      </c>
      <c r="L64" s="4"/>
    </row>
    <row r="65" spans="1:12" hidden="1">
      <c r="A65" s="4"/>
      <c r="B65" s="42" t="s">
        <v>583</v>
      </c>
      <c r="C65" s="10" t="s">
        <v>220</v>
      </c>
      <c r="D65" s="10" t="s">
        <v>227</v>
      </c>
      <c r="E65" s="4"/>
      <c r="F65" s="10" t="s">
        <v>666</v>
      </c>
      <c r="G65" s="10"/>
      <c r="H65" s="10"/>
      <c r="I65" s="20">
        <f t="shared" si="1"/>
        <v>0</v>
      </c>
      <c r="J65" s="10" t="s">
        <v>586</v>
      </c>
      <c r="K65" s="10">
        <v>1</v>
      </c>
      <c r="L65" s="4"/>
    </row>
    <row r="66" spans="1:12" hidden="1">
      <c r="A66" s="4"/>
      <c r="B66" s="42" t="s">
        <v>583</v>
      </c>
      <c r="C66" s="10" t="s">
        <v>220</v>
      </c>
      <c r="D66" s="10" t="s">
        <v>621</v>
      </c>
      <c r="E66" s="4"/>
      <c r="F66" s="10" t="s">
        <v>667</v>
      </c>
      <c r="G66" s="10"/>
      <c r="H66" s="10"/>
      <c r="I66" s="20">
        <f t="shared" si="1"/>
        <v>0</v>
      </c>
      <c r="J66" s="10" t="s">
        <v>586</v>
      </c>
      <c r="K66" s="10">
        <v>1</v>
      </c>
      <c r="L66" s="4"/>
    </row>
    <row r="67" spans="1:12" hidden="1">
      <c r="A67" s="4"/>
      <c r="B67" s="42" t="s">
        <v>583</v>
      </c>
      <c r="C67" s="10" t="s">
        <v>220</v>
      </c>
      <c r="D67" s="10" t="s">
        <v>668</v>
      </c>
      <c r="E67" s="4"/>
      <c r="F67" s="26" t="s">
        <v>669</v>
      </c>
      <c r="G67" s="10"/>
      <c r="H67" s="10"/>
      <c r="I67" s="20">
        <f t="shared" si="1"/>
        <v>0</v>
      </c>
      <c r="J67" s="10" t="s">
        <v>586</v>
      </c>
      <c r="K67" s="10">
        <v>1</v>
      </c>
      <c r="L67" s="4"/>
    </row>
    <row r="68" spans="1:12" hidden="1">
      <c r="A68" s="4"/>
      <c r="B68" s="42" t="s">
        <v>583</v>
      </c>
      <c r="C68" s="10" t="s">
        <v>220</v>
      </c>
      <c r="D68" s="10" t="s">
        <v>221</v>
      </c>
      <c r="E68" s="4"/>
      <c r="F68" s="26" t="s">
        <v>670</v>
      </c>
      <c r="G68" s="10"/>
      <c r="H68" s="10"/>
      <c r="I68" s="20">
        <f t="shared" si="1"/>
        <v>0</v>
      </c>
      <c r="J68" s="10" t="s">
        <v>586</v>
      </c>
      <c r="K68" s="10">
        <v>1</v>
      </c>
      <c r="L68" s="4"/>
    </row>
    <row r="69" spans="1:12" hidden="1">
      <c r="A69" s="4"/>
      <c r="B69" s="42" t="s">
        <v>583</v>
      </c>
      <c r="C69" s="10" t="s">
        <v>220</v>
      </c>
      <c r="D69" s="10" t="s">
        <v>227</v>
      </c>
      <c r="E69" s="4"/>
      <c r="F69" s="10" t="s">
        <v>671</v>
      </c>
      <c r="G69" s="10"/>
      <c r="H69" s="10"/>
      <c r="I69" s="20">
        <f t="shared" si="1"/>
        <v>0</v>
      </c>
      <c r="J69" s="10" t="s">
        <v>586</v>
      </c>
      <c r="K69" s="10">
        <v>1</v>
      </c>
      <c r="L69" s="4"/>
    </row>
    <row r="70" spans="1:12" hidden="1">
      <c r="A70" s="4"/>
      <c r="B70" s="42" t="s">
        <v>583</v>
      </c>
      <c r="C70" s="10" t="s">
        <v>220</v>
      </c>
      <c r="D70" s="10" t="s">
        <v>621</v>
      </c>
      <c r="E70" s="4"/>
      <c r="F70" s="10" t="s">
        <v>672</v>
      </c>
      <c r="G70" s="10"/>
      <c r="H70" s="10"/>
      <c r="I70" s="20">
        <f t="shared" si="1"/>
        <v>0</v>
      </c>
      <c r="J70" s="10" t="s">
        <v>586</v>
      </c>
      <c r="K70" s="10">
        <v>1</v>
      </c>
      <c r="L70" s="4"/>
    </row>
    <row r="71" spans="1:12" hidden="1">
      <c r="A71" s="4"/>
      <c r="B71" s="42" t="s">
        <v>583</v>
      </c>
      <c r="C71" s="10" t="s">
        <v>220</v>
      </c>
      <c r="D71" s="10" t="s">
        <v>621</v>
      </c>
      <c r="E71" s="4"/>
      <c r="F71" s="10" t="s">
        <v>673</v>
      </c>
      <c r="G71" s="10"/>
      <c r="H71" s="10"/>
      <c r="I71" s="20">
        <f t="shared" si="1"/>
        <v>0</v>
      </c>
      <c r="J71" s="10" t="s">
        <v>586</v>
      </c>
      <c r="K71" s="10">
        <v>1</v>
      </c>
      <c r="L71" s="4"/>
    </row>
    <row r="72" spans="1:12" hidden="1">
      <c r="A72" s="4"/>
      <c r="B72" s="42" t="s">
        <v>583</v>
      </c>
      <c r="C72" s="10" t="s">
        <v>220</v>
      </c>
      <c r="D72" s="10" t="s">
        <v>621</v>
      </c>
      <c r="E72" s="4"/>
      <c r="F72" s="10" t="s">
        <v>674</v>
      </c>
      <c r="G72" s="10"/>
      <c r="H72" s="10"/>
      <c r="I72" s="20">
        <f t="shared" si="1"/>
        <v>0</v>
      </c>
      <c r="J72" s="10" t="s">
        <v>586</v>
      </c>
      <c r="K72" s="10">
        <v>1</v>
      </c>
      <c r="L72" s="4"/>
    </row>
    <row r="73" spans="1:12" hidden="1">
      <c r="A73" s="4"/>
      <c r="B73" s="42" t="s">
        <v>583</v>
      </c>
      <c r="C73" s="10" t="s">
        <v>220</v>
      </c>
      <c r="D73" s="10" t="s">
        <v>227</v>
      </c>
      <c r="E73" s="4"/>
      <c r="F73" s="10" t="s">
        <v>675</v>
      </c>
      <c r="G73" s="10"/>
      <c r="H73" s="10"/>
      <c r="I73" s="20">
        <f t="shared" si="1"/>
        <v>0</v>
      </c>
      <c r="J73" s="10" t="s">
        <v>586</v>
      </c>
      <c r="K73" s="10">
        <v>1</v>
      </c>
      <c r="L73" s="4"/>
    </row>
    <row r="74" spans="1:12" hidden="1">
      <c r="A74" s="4"/>
      <c r="B74" s="42" t="s">
        <v>583</v>
      </c>
      <c r="C74" s="10" t="s">
        <v>220</v>
      </c>
      <c r="D74" s="10" t="s">
        <v>227</v>
      </c>
      <c r="E74" s="4"/>
      <c r="F74" s="10" t="s">
        <v>676</v>
      </c>
      <c r="G74" s="10"/>
      <c r="H74" s="10"/>
      <c r="I74" s="20">
        <f t="shared" si="1"/>
        <v>0</v>
      </c>
      <c r="J74" s="10" t="s">
        <v>586</v>
      </c>
      <c r="K74" s="10">
        <v>1</v>
      </c>
      <c r="L74" s="4"/>
    </row>
    <row r="75" spans="1:12" hidden="1">
      <c r="A75" s="4"/>
      <c r="B75" s="42" t="s">
        <v>583</v>
      </c>
      <c r="C75" s="10" t="s">
        <v>220</v>
      </c>
      <c r="D75" s="10" t="s">
        <v>677</v>
      </c>
      <c r="E75" s="4"/>
      <c r="F75" s="10" t="s">
        <v>678</v>
      </c>
      <c r="G75" s="10"/>
      <c r="H75" s="10"/>
      <c r="I75" s="20">
        <f t="shared" si="1"/>
        <v>0</v>
      </c>
      <c r="J75" s="10" t="s">
        <v>586</v>
      </c>
      <c r="K75" s="10">
        <v>1</v>
      </c>
      <c r="L75" s="4"/>
    </row>
    <row r="76" spans="1:12" hidden="1">
      <c r="A76" s="4"/>
      <c r="B76" s="42" t="s">
        <v>583</v>
      </c>
      <c r="C76" s="10" t="s">
        <v>220</v>
      </c>
      <c r="D76" s="10" t="s">
        <v>668</v>
      </c>
      <c r="E76" s="4"/>
      <c r="F76" s="10" t="s">
        <v>679</v>
      </c>
      <c r="G76" s="10"/>
      <c r="H76" s="10"/>
      <c r="I76" s="20">
        <f t="shared" ref="I76:I139" si="2">G76+H76</f>
        <v>0</v>
      </c>
      <c r="J76" s="10" t="s">
        <v>586</v>
      </c>
      <c r="K76" s="10">
        <v>1</v>
      </c>
      <c r="L76" s="4"/>
    </row>
    <row r="77" spans="1:12" hidden="1">
      <c r="A77" s="4"/>
      <c r="B77" s="42" t="s">
        <v>583</v>
      </c>
      <c r="C77" s="10" t="s">
        <v>220</v>
      </c>
      <c r="D77" s="10" t="s">
        <v>221</v>
      </c>
      <c r="E77" s="4"/>
      <c r="F77" s="10" t="s">
        <v>680</v>
      </c>
      <c r="G77" s="10"/>
      <c r="H77" s="10"/>
      <c r="I77" s="20">
        <f t="shared" si="2"/>
        <v>0</v>
      </c>
      <c r="J77" s="10" t="s">
        <v>586</v>
      </c>
      <c r="K77" s="10">
        <v>1</v>
      </c>
      <c r="L77" s="4"/>
    </row>
    <row r="78" spans="1:12" hidden="1">
      <c r="A78" s="4"/>
      <c r="B78" s="4" t="s">
        <v>583</v>
      </c>
      <c r="C78" s="10" t="s">
        <v>92</v>
      </c>
      <c r="D78" s="10" t="s">
        <v>193</v>
      </c>
      <c r="E78" s="4"/>
      <c r="F78" s="10" t="s">
        <v>681</v>
      </c>
      <c r="G78" s="10"/>
      <c r="H78" s="10"/>
      <c r="I78" s="20">
        <f t="shared" si="2"/>
        <v>0</v>
      </c>
      <c r="J78" s="10" t="s">
        <v>586</v>
      </c>
      <c r="K78" s="10">
        <v>1</v>
      </c>
      <c r="L78" s="4"/>
    </row>
    <row r="79" spans="1:12" hidden="1">
      <c r="A79" s="4"/>
      <c r="B79" s="4" t="s">
        <v>583</v>
      </c>
      <c r="C79" s="10" t="s">
        <v>92</v>
      </c>
      <c r="D79" s="10" t="s">
        <v>193</v>
      </c>
      <c r="E79" s="4"/>
      <c r="F79" s="10" t="s">
        <v>682</v>
      </c>
      <c r="G79" s="10"/>
      <c r="H79" s="10"/>
      <c r="I79" s="20">
        <f t="shared" si="2"/>
        <v>0</v>
      </c>
      <c r="J79" s="10" t="s">
        <v>586</v>
      </c>
      <c r="K79" s="10">
        <v>1</v>
      </c>
      <c r="L79" s="4"/>
    </row>
    <row r="80" spans="1:12" hidden="1">
      <c r="A80" s="4"/>
      <c r="B80" s="4" t="s">
        <v>583</v>
      </c>
      <c r="C80" s="10" t="s">
        <v>92</v>
      </c>
      <c r="D80" s="10" t="s">
        <v>193</v>
      </c>
      <c r="E80" s="4"/>
      <c r="F80" s="10" t="s">
        <v>683</v>
      </c>
      <c r="G80" s="10"/>
      <c r="H80" s="10"/>
      <c r="I80" s="20">
        <f t="shared" si="2"/>
        <v>0</v>
      </c>
      <c r="J80" s="10" t="s">
        <v>586</v>
      </c>
      <c r="K80" s="10">
        <v>1</v>
      </c>
      <c r="L80" s="4"/>
    </row>
    <row r="81" spans="1:12" hidden="1">
      <c r="A81" s="4"/>
      <c r="B81" s="4" t="s">
        <v>583</v>
      </c>
      <c r="C81" s="10" t="s">
        <v>92</v>
      </c>
      <c r="D81" s="10" t="s">
        <v>248</v>
      </c>
      <c r="E81" s="4"/>
      <c r="F81" s="10" t="s">
        <v>684</v>
      </c>
      <c r="G81" s="10"/>
      <c r="H81" s="10"/>
      <c r="I81" s="20">
        <f t="shared" si="2"/>
        <v>0</v>
      </c>
      <c r="J81" s="10" t="s">
        <v>586</v>
      </c>
      <c r="K81" s="10">
        <v>1</v>
      </c>
      <c r="L81" s="4"/>
    </row>
    <row r="82" spans="1:12" hidden="1">
      <c r="A82" s="4"/>
      <c r="B82" s="4" t="s">
        <v>583</v>
      </c>
      <c r="C82" s="10" t="s">
        <v>92</v>
      </c>
      <c r="D82" s="10" t="s">
        <v>248</v>
      </c>
      <c r="E82" s="4"/>
      <c r="F82" s="10" t="s">
        <v>685</v>
      </c>
      <c r="G82" s="10"/>
      <c r="H82" s="10"/>
      <c r="I82" s="20">
        <f t="shared" si="2"/>
        <v>0</v>
      </c>
      <c r="J82" s="10" t="s">
        <v>586</v>
      </c>
      <c r="K82" s="10">
        <v>1</v>
      </c>
      <c r="L82" s="4"/>
    </row>
    <row r="83" spans="1:12" hidden="1">
      <c r="A83" s="4"/>
      <c r="B83" s="4" t="s">
        <v>583</v>
      </c>
      <c r="C83" s="10" t="s">
        <v>92</v>
      </c>
      <c r="D83" s="10" t="s">
        <v>248</v>
      </c>
      <c r="E83" s="4"/>
      <c r="F83" s="26" t="s">
        <v>686</v>
      </c>
      <c r="G83" s="10"/>
      <c r="H83" s="10"/>
      <c r="I83" s="20">
        <f t="shared" si="2"/>
        <v>0</v>
      </c>
      <c r="J83" s="10" t="s">
        <v>586</v>
      </c>
      <c r="K83" s="10">
        <v>1</v>
      </c>
      <c r="L83" s="4"/>
    </row>
    <row r="84" spans="1:12" hidden="1">
      <c r="A84" s="4"/>
      <c r="B84" s="4" t="s">
        <v>583</v>
      </c>
      <c r="C84" s="10" t="s">
        <v>92</v>
      </c>
      <c r="D84" s="10" t="s">
        <v>248</v>
      </c>
      <c r="E84" s="4"/>
      <c r="F84" s="10" t="s">
        <v>687</v>
      </c>
      <c r="G84" s="4"/>
      <c r="H84" s="4"/>
      <c r="I84" s="20">
        <f t="shared" si="2"/>
        <v>0</v>
      </c>
      <c r="J84" s="10" t="s">
        <v>586</v>
      </c>
      <c r="K84" s="10">
        <v>1</v>
      </c>
      <c r="L84" s="4"/>
    </row>
    <row r="85" spans="1:12" hidden="1">
      <c r="A85" s="4"/>
      <c r="B85" s="4" t="s">
        <v>583</v>
      </c>
      <c r="C85" s="10" t="s">
        <v>92</v>
      </c>
      <c r="D85" s="10" t="s">
        <v>248</v>
      </c>
      <c r="E85" s="4"/>
      <c r="F85" s="10" t="s">
        <v>688</v>
      </c>
      <c r="G85" s="10"/>
      <c r="H85" s="10"/>
      <c r="I85" s="20">
        <f t="shared" si="2"/>
        <v>0</v>
      </c>
      <c r="J85" s="10" t="s">
        <v>586</v>
      </c>
      <c r="K85" s="10">
        <v>1</v>
      </c>
      <c r="L85" s="4"/>
    </row>
    <row r="86" spans="1:12" hidden="1">
      <c r="A86" s="4"/>
      <c r="B86" s="4" t="s">
        <v>583</v>
      </c>
      <c r="C86" s="10" t="s">
        <v>92</v>
      </c>
      <c r="D86" s="10" t="s">
        <v>248</v>
      </c>
      <c r="E86" s="4"/>
      <c r="F86" s="10" t="s">
        <v>689</v>
      </c>
      <c r="G86" s="10"/>
      <c r="H86" s="10"/>
      <c r="I86" s="20">
        <f t="shared" si="2"/>
        <v>0</v>
      </c>
      <c r="J86" s="10" t="s">
        <v>586</v>
      </c>
      <c r="K86" s="10">
        <v>1</v>
      </c>
      <c r="L86" s="4"/>
    </row>
    <row r="87" spans="1:12" hidden="1">
      <c r="A87" s="4"/>
      <c r="B87" s="4" t="s">
        <v>583</v>
      </c>
      <c r="C87" s="10" t="s">
        <v>92</v>
      </c>
      <c r="D87" s="10" t="s">
        <v>690</v>
      </c>
      <c r="E87" s="4"/>
      <c r="F87" s="26" t="s">
        <v>691</v>
      </c>
      <c r="G87" s="10"/>
      <c r="H87" s="10"/>
      <c r="I87" s="20">
        <f t="shared" si="2"/>
        <v>0</v>
      </c>
      <c r="J87" s="10" t="s">
        <v>692</v>
      </c>
      <c r="K87" s="10">
        <v>100</v>
      </c>
      <c r="L87" s="4"/>
    </row>
    <row r="88" spans="1:12" hidden="1">
      <c r="A88" s="4"/>
      <c r="B88" s="4" t="s">
        <v>583</v>
      </c>
      <c r="C88" s="10" t="s">
        <v>92</v>
      </c>
      <c r="D88" s="10" t="s">
        <v>690</v>
      </c>
      <c r="E88" s="4"/>
      <c r="F88" s="26" t="s">
        <v>693</v>
      </c>
      <c r="G88" s="10"/>
      <c r="H88" s="10"/>
      <c r="I88" s="20">
        <f t="shared" si="2"/>
        <v>0</v>
      </c>
      <c r="J88" s="10" t="s">
        <v>692</v>
      </c>
      <c r="K88" s="10">
        <v>100</v>
      </c>
      <c r="L88" s="4"/>
    </row>
    <row r="89" spans="1:12" hidden="1">
      <c r="A89" s="4"/>
      <c r="B89" s="4" t="s">
        <v>583</v>
      </c>
      <c r="C89" s="10" t="s">
        <v>92</v>
      </c>
      <c r="D89" s="10" t="s">
        <v>690</v>
      </c>
      <c r="E89" s="4"/>
      <c r="F89" s="26" t="s">
        <v>694</v>
      </c>
      <c r="G89" s="10"/>
      <c r="H89" s="10"/>
      <c r="I89" s="20">
        <f t="shared" si="2"/>
        <v>0</v>
      </c>
      <c r="J89" s="10" t="s">
        <v>692</v>
      </c>
      <c r="K89" s="10">
        <v>100</v>
      </c>
      <c r="L89" s="4"/>
    </row>
    <row r="90" spans="1:12" hidden="1">
      <c r="A90" s="4"/>
      <c r="B90" s="4" t="s">
        <v>583</v>
      </c>
      <c r="C90" s="10" t="s">
        <v>92</v>
      </c>
      <c r="D90" s="10" t="s">
        <v>257</v>
      </c>
      <c r="E90" s="4"/>
      <c r="F90" s="26" t="s">
        <v>695</v>
      </c>
      <c r="G90" s="10"/>
      <c r="H90" s="10"/>
      <c r="I90" s="20">
        <f t="shared" si="2"/>
        <v>0</v>
      </c>
      <c r="J90" s="10" t="s">
        <v>692</v>
      </c>
      <c r="K90" s="10">
        <v>100</v>
      </c>
      <c r="L90" s="4"/>
    </row>
    <row r="91" spans="1:12" hidden="1">
      <c r="A91" s="4"/>
      <c r="B91" s="4" t="s">
        <v>583</v>
      </c>
      <c r="C91" s="10" t="s">
        <v>92</v>
      </c>
      <c r="D91" s="10" t="s">
        <v>262</v>
      </c>
      <c r="E91" s="4"/>
      <c r="F91" s="26" t="s">
        <v>696</v>
      </c>
      <c r="G91" s="10"/>
      <c r="H91" s="10"/>
      <c r="I91" s="20">
        <f t="shared" si="2"/>
        <v>0</v>
      </c>
      <c r="J91" s="10" t="s">
        <v>692</v>
      </c>
      <c r="K91" s="10">
        <v>100</v>
      </c>
      <c r="L91" s="4"/>
    </row>
    <row r="92" spans="1:12" hidden="1">
      <c r="A92" s="4"/>
      <c r="B92" s="4" t="s">
        <v>583</v>
      </c>
      <c r="C92" s="10" t="s">
        <v>92</v>
      </c>
      <c r="D92" s="10" t="s">
        <v>697</v>
      </c>
      <c r="E92" s="4"/>
      <c r="F92" s="10" t="s">
        <v>698</v>
      </c>
      <c r="G92" s="10"/>
      <c r="H92" s="10"/>
      <c r="I92" s="20">
        <f t="shared" si="2"/>
        <v>0</v>
      </c>
      <c r="J92" s="10" t="s">
        <v>586</v>
      </c>
      <c r="K92" s="10">
        <v>1</v>
      </c>
      <c r="L92" s="4"/>
    </row>
    <row r="93" spans="1:12" hidden="1">
      <c r="A93" s="4"/>
      <c r="B93" s="4" t="s">
        <v>583</v>
      </c>
      <c r="C93" s="10" t="s">
        <v>92</v>
      </c>
      <c r="D93" s="10" t="s">
        <v>697</v>
      </c>
      <c r="E93" s="4"/>
      <c r="F93" s="10" t="s">
        <v>699</v>
      </c>
      <c r="G93" s="10"/>
      <c r="H93" s="10"/>
      <c r="I93" s="20">
        <f t="shared" si="2"/>
        <v>0</v>
      </c>
      <c r="J93" s="10" t="s">
        <v>586</v>
      </c>
      <c r="K93" s="10">
        <v>1</v>
      </c>
      <c r="L93" s="4"/>
    </row>
    <row r="94" spans="1:12" hidden="1">
      <c r="A94" s="4"/>
      <c r="B94" s="4" t="s">
        <v>583</v>
      </c>
      <c r="C94" s="10" t="s">
        <v>92</v>
      </c>
      <c r="D94" s="10" t="s">
        <v>697</v>
      </c>
      <c r="E94" s="4"/>
      <c r="F94" s="10" t="s">
        <v>700</v>
      </c>
      <c r="G94" s="10"/>
      <c r="H94" s="10"/>
      <c r="I94" s="20">
        <f t="shared" si="2"/>
        <v>0</v>
      </c>
      <c r="J94" s="10" t="s">
        <v>586</v>
      </c>
      <c r="K94" s="10">
        <v>1</v>
      </c>
      <c r="L94" s="4"/>
    </row>
    <row r="95" spans="1:12" hidden="1">
      <c r="A95" s="4"/>
      <c r="B95" s="4" t="s">
        <v>583</v>
      </c>
      <c r="C95" s="10" t="s">
        <v>92</v>
      </c>
      <c r="D95" s="10" t="s">
        <v>93</v>
      </c>
      <c r="E95" s="4"/>
      <c r="F95" s="10" t="s">
        <v>284</v>
      </c>
      <c r="G95" s="10"/>
      <c r="H95" s="10"/>
      <c r="I95" s="20">
        <f t="shared" si="2"/>
        <v>0</v>
      </c>
      <c r="J95" s="10" t="s">
        <v>586</v>
      </c>
      <c r="K95" s="10">
        <v>1</v>
      </c>
      <c r="L95" s="4"/>
    </row>
    <row r="96" spans="1:12" hidden="1">
      <c r="A96" s="4"/>
      <c r="B96" s="4" t="s">
        <v>583</v>
      </c>
      <c r="C96" s="10" t="s">
        <v>92</v>
      </c>
      <c r="D96" s="10" t="s">
        <v>93</v>
      </c>
      <c r="E96" s="4"/>
      <c r="F96" s="10" t="s">
        <v>94</v>
      </c>
      <c r="G96" s="10"/>
      <c r="H96" s="10"/>
      <c r="I96" s="20">
        <f t="shared" si="2"/>
        <v>0</v>
      </c>
      <c r="J96" s="10" t="s">
        <v>586</v>
      </c>
      <c r="K96" s="10">
        <v>1</v>
      </c>
      <c r="L96" s="4"/>
    </row>
    <row r="97" spans="1:12" hidden="1">
      <c r="A97" s="4"/>
      <c r="B97" s="4" t="s">
        <v>583</v>
      </c>
      <c r="C97" s="10" t="s">
        <v>92</v>
      </c>
      <c r="D97" s="10" t="s">
        <v>93</v>
      </c>
      <c r="E97" s="4"/>
      <c r="F97" s="10" t="s">
        <v>701</v>
      </c>
      <c r="G97" s="10"/>
      <c r="H97" s="10"/>
      <c r="I97" s="20">
        <f t="shared" si="2"/>
        <v>0</v>
      </c>
      <c r="J97" s="10" t="s">
        <v>586</v>
      </c>
      <c r="K97" s="10">
        <v>1</v>
      </c>
      <c r="L97" s="4"/>
    </row>
    <row r="98" spans="1:12" hidden="1">
      <c r="A98" s="4"/>
      <c r="B98" s="4" t="s">
        <v>583</v>
      </c>
      <c r="C98" s="10" t="s">
        <v>92</v>
      </c>
      <c r="D98" s="10" t="s">
        <v>93</v>
      </c>
      <c r="E98" s="4"/>
      <c r="F98" s="10" t="s">
        <v>702</v>
      </c>
      <c r="G98" s="10"/>
      <c r="H98" s="10"/>
      <c r="I98" s="20">
        <f t="shared" si="2"/>
        <v>0</v>
      </c>
      <c r="J98" s="10" t="s">
        <v>586</v>
      </c>
      <c r="K98" s="10">
        <v>1</v>
      </c>
      <c r="L98" s="4"/>
    </row>
    <row r="99" spans="1:12" hidden="1">
      <c r="A99" s="4"/>
      <c r="B99" s="4" t="s">
        <v>583</v>
      </c>
      <c r="C99" s="10" t="s">
        <v>92</v>
      </c>
      <c r="D99" s="10" t="s">
        <v>98</v>
      </c>
      <c r="E99" s="4"/>
      <c r="F99" s="26" t="s">
        <v>703</v>
      </c>
      <c r="G99" s="4"/>
      <c r="H99" s="4"/>
      <c r="I99" s="20">
        <f t="shared" si="2"/>
        <v>0</v>
      </c>
      <c r="J99" s="10" t="s">
        <v>586</v>
      </c>
      <c r="K99" s="10">
        <v>1</v>
      </c>
      <c r="L99" s="4"/>
    </row>
    <row r="100" spans="1:12" hidden="1">
      <c r="A100" s="4"/>
      <c r="B100" s="4" t="s">
        <v>583</v>
      </c>
      <c r="C100" s="10" t="s">
        <v>92</v>
      </c>
      <c r="D100" s="10" t="s">
        <v>98</v>
      </c>
      <c r="E100" s="4"/>
      <c r="F100" s="10" t="s">
        <v>704</v>
      </c>
      <c r="G100" s="10"/>
      <c r="H100" s="10"/>
      <c r="I100" s="20">
        <f t="shared" si="2"/>
        <v>0</v>
      </c>
      <c r="J100" s="10" t="s">
        <v>586</v>
      </c>
      <c r="K100" s="10">
        <v>1</v>
      </c>
      <c r="L100" s="4"/>
    </row>
    <row r="101" spans="1:12" hidden="1">
      <c r="A101" s="4"/>
      <c r="B101" s="4" t="s">
        <v>583</v>
      </c>
      <c r="C101" s="10" t="s">
        <v>92</v>
      </c>
      <c r="D101" s="10" t="s">
        <v>323</v>
      </c>
      <c r="E101" s="4"/>
      <c r="F101" s="10" t="s">
        <v>705</v>
      </c>
      <c r="G101" s="10"/>
      <c r="H101" s="10"/>
      <c r="I101" s="20">
        <f t="shared" si="2"/>
        <v>0</v>
      </c>
      <c r="J101" s="10" t="s">
        <v>586</v>
      </c>
      <c r="K101" s="10">
        <v>1</v>
      </c>
      <c r="L101" s="4"/>
    </row>
    <row r="102" spans="1:12" hidden="1">
      <c r="A102" s="4"/>
      <c r="B102" s="4" t="s">
        <v>583</v>
      </c>
      <c r="C102" s="10" t="s">
        <v>92</v>
      </c>
      <c r="D102" s="10" t="s">
        <v>323</v>
      </c>
      <c r="E102" s="4"/>
      <c r="F102" s="10" t="s">
        <v>706</v>
      </c>
      <c r="G102" s="10"/>
      <c r="H102" s="10"/>
      <c r="I102" s="20">
        <f t="shared" si="2"/>
        <v>0</v>
      </c>
      <c r="J102" s="10" t="s">
        <v>586</v>
      </c>
      <c r="K102" s="10">
        <v>1</v>
      </c>
      <c r="L102" s="4"/>
    </row>
    <row r="103" spans="1:12" hidden="1">
      <c r="A103" s="4"/>
      <c r="B103" s="4" t="s">
        <v>583</v>
      </c>
      <c r="C103" s="10" t="s">
        <v>92</v>
      </c>
      <c r="D103" s="10" t="s">
        <v>323</v>
      </c>
      <c r="E103" s="4"/>
      <c r="F103" s="10" t="s">
        <v>707</v>
      </c>
      <c r="G103" s="10"/>
      <c r="H103" s="10"/>
      <c r="I103" s="20">
        <f t="shared" si="2"/>
        <v>0</v>
      </c>
      <c r="J103" s="10" t="s">
        <v>586</v>
      </c>
      <c r="K103" s="10">
        <v>1</v>
      </c>
      <c r="L103" s="4"/>
    </row>
    <row r="104" spans="1:12" hidden="1">
      <c r="A104" s="4"/>
      <c r="B104" s="4" t="s">
        <v>583</v>
      </c>
      <c r="C104" s="10" t="s">
        <v>92</v>
      </c>
      <c r="D104" s="10" t="s">
        <v>708</v>
      </c>
      <c r="E104" s="4"/>
      <c r="F104" s="10" t="s">
        <v>709</v>
      </c>
      <c r="G104" s="10"/>
      <c r="H104" s="10"/>
      <c r="I104" s="20">
        <f t="shared" si="2"/>
        <v>0</v>
      </c>
      <c r="J104" s="10" t="s">
        <v>586</v>
      </c>
      <c r="K104" s="10">
        <v>1</v>
      </c>
      <c r="L104" s="4"/>
    </row>
    <row r="105" spans="1:12" hidden="1">
      <c r="A105" s="4"/>
      <c r="B105" s="4" t="s">
        <v>583</v>
      </c>
      <c r="C105" s="10" t="s">
        <v>92</v>
      </c>
      <c r="D105" s="10" t="s">
        <v>339</v>
      </c>
      <c r="E105" s="4"/>
      <c r="F105" s="10" t="s">
        <v>710</v>
      </c>
      <c r="G105" s="10"/>
      <c r="H105" s="10"/>
      <c r="I105" s="20">
        <f t="shared" si="2"/>
        <v>0</v>
      </c>
      <c r="J105" s="10" t="s">
        <v>586</v>
      </c>
      <c r="K105" s="10">
        <v>1</v>
      </c>
      <c r="L105" s="4"/>
    </row>
    <row r="106" spans="1:12" hidden="1">
      <c r="A106" s="4"/>
      <c r="B106" s="4" t="s">
        <v>583</v>
      </c>
      <c r="C106" s="10" t="s">
        <v>92</v>
      </c>
      <c r="D106" s="10" t="s">
        <v>339</v>
      </c>
      <c r="E106" s="4"/>
      <c r="F106" s="10" t="s">
        <v>711</v>
      </c>
      <c r="G106" s="10"/>
      <c r="H106" s="10"/>
      <c r="I106" s="20">
        <f t="shared" si="2"/>
        <v>0</v>
      </c>
      <c r="J106" s="10" t="s">
        <v>586</v>
      </c>
      <c r="K106" s="10">
        <v>1</v>
      </c>
      <c r="L106" s="4"/>
    </row>
    <row r="107" spans="1:12" hidden="1">
      <c r="A107" s="4"/>
      <c r="B107" s="4" t="s">
        <v>583</v>
      </c>
      <c r="C107" s="10" t="s">
        <v>92</v>
      </c>
      <c r="D107" s="10" t="s">
        <v>339</v>
      </c>
      <c r="E107" s="4"/>
      <c r="F107" s="10" t="s">
        <v>712</v>
      </c>
      <c r="G107" s="10"/>
      <c r="H107" s="10"/>
      <c r="I107" s="20">
        <f t="shared" si="2"/>
        <v>0</v>
      </c>
      <c r="J107" s="10" t="s">
        <v>586</v>
      </c>
      <c r="K107" s="10">
        <v>1</v>
      </c>
      <c r="L107" s="4"/>
    </row>
    <row r="108" spans="1:12" hidden="1">
      <c r="A108" s="4"/>
      <c r="B108" s="4" t="s">
        <v>583</v>
      </c>
      <c r="C108" s="10" t="s">
        <v>92</v>
      </c>
      <c r="D108" s="10" t="s">
        <v>713</v>
      </c>
      <c r="E108" s="4"/>
      <c r="F108" s="10" t="s">
        <v>714</v>
      </c>
      <c r="G108" s="10"/>
      <c r="H108" s="10"/>
      <c r="I108" s="20">
        <f t="shared" si="2"/>
        <v>0</v>
      </c>
      <c r="J108" s="10" t="s">
        <v>586</v>
      </c>
      <c r="K108" s="10">
        <v>1</v>
      </c>
      <c r="L108" s="4"/>
    </row>
    <row r="109" spans="1:12" hidden="1">
      <c r="A109" s="4"/>
      <c r="B109" s="4" t="s">
        <v>583</v>
      </c>
      <c r="C109" s="10" t="s">
        <v>92</v>
      </c>
      <c r="D109" s="10" t="s">
        <v>713</v>
      </c>
      <c r="E109" s="4"/>
      <c r="F109" s="10" t="s">
        <v>715</v>
      </c>
      <c r="G109" s="10"/>
      <c r="H109" s="10"/>
      <c r="I109" s="20">
        <f t="shared" si="2"/>
        <v>0</v>
      </c>
      <c r="J109" s="10" t="s">
        <v>586</v>
      </c>
      <c r="K109" s="10">
        <v>1</v>
      </c>
      <c r="L109" s="4"/>
    </row>
    <row r="110" spans="1:12" hidden="1">
      <c r="A110" s="4"/>
      <c r="B110" s="4" t="s">
        <v>583</v>
      </c>
      <c r="C110" s="10" t="s">
        <v>92</v>
      </c>
      <c r="D110" s="10" t="s">
        <v>103</v>
      </c>
      <c r="E110" s="4"/>
      <c r="F110" s="10" t="s">
        <v>716</v>
      </c>
      <c r="G110" s="10"/>
      <c r="H110" s="10"/>
      <c r="I110" s="20">
        <f t="shared" si="2"/>
        <v>0</v>
      </c>
      <c r="J110" s="10" t="s">
        <v>586</v>
      </c>
      <c r="K110" s="10">
        <v>1</v>
      </c>
      <c r="L110" s="4"/>
    </row>
    <row r="111" spans="1:12" hidden="1">
      <c r="A111" s="4"/>
      <c r="B111" s="4" t="s">
        <v>583</v>
      </c>
      <c r="C111" s="10" t="s">
        <v>92</v>
      </c>
      <c r="D111" s="10" t="s">
        <v>103</v>
      </c>
      <c r="E111" s="4"/>
      <c r="F111" s="10" t="s">
        <v>717</v>
      </c>
      <c r="G111" s="10"/>
      <c r="H111" s="10"/>
      <c r="I111" s="20">
        <f t="shared" si="2"/>
        <v>0</v>
      </c>
      <c r="J111" s="10" t="s">
        <v>586</v>
      </c>
      <c r="K111" s="10">
        <v>1</v>
      </c>
      <c r="L111" s="4"/>
    </row>
    <row r="112" spans="1:12" hidden="1">
      <c r="A112" s="4"/>
      <c r="B112" s="4" t="s">
        <v>583</v>
      </c>
      <c r="C112" s="10" t="s">
        <v>92</v>
      </c>
      <c r="D112" s="10" t="s">
        <v>353</v>
      </c>
      <c r="E112" s="4"/>
      <c r="F112" s="10" t="s">
        <v>718</v>
      </c>
      <c r="G112" s="10"/>
      <c r="H112" s="10"/>
      <c r="I112" s="20">
        <f t="shared" si="2"/>
        <v>0</v>
      </c>
      <c r="J112" s="10" t="s">
        <v>586</v>
      </c>
      <c r="K112" s="10">
        <v>1</v>
      </c>
      <c r="L112" s="4"/>
    </row>
    <row r="113" spans="1:12" hidden="1">
      <c r="A113" s="4"/>
      <c r="B113" s="4" t="s">
        <v>583</v>
      </c>
      <c r="C113" s="10" t="s">
        <v>92</v>
      </c>
      <c r="D113" s="10" t="s">
        <v>383</v>
      </c>
      <c r="E113" s="4"/>
      <c r="F113" s="10" t="s">
        <v>384</v>
      </c>
      <c r="G113" s="19"/>
      <c r="H113" s="10"/>
      <c r="I113" s="20">
        <f t="shared" si="2"/>
        <v>0</v>
      </c>
      <c r="J113" s="10" t="s">
        <v>586</v>
      </c>
      <c r="K113" s="10">
        <v>1</v>
      </c>
      <c r="L113" s="4"/>
    </row>
    <row r="114" spans="1:12" hidden="1">
      <c r="A114" s="4"/>
      <c r="B114" s="4" t="s">
        <v>583</v>
      </c>
      <c r="C114" s="10" t="s">
        <v>92</v>
      </c>
      <c r="D114" s="10" t="s">
        <v>383</v>
      </c>
      <c r="E114" s="4"/>
      <c r="F114" s="10" t="s">
        <v>719</v>
      </c>
      <c r="G114" s="10"/>
      <c r="H114" s="10"/>
      <c r="I114" s="20">
        <f t="shared" si="2"/>
        <v>0</v>
      </c>
      <c r="J114" s="10" t="s">
        <v>586</v>
      </c>
      <c r="K114" s="10">
        <v>1</v>
      </c>
      <c r="L114" s="4"/>
    </row>
    <row r="115" spans="1:12" hidden="1">
      <c r="A115" s="4"/>
      <c r="B115" s="4" t="s">
        <v>583</v>
      </c>
      <c r="C115" s="10" t="s">
        <v>92</v>
      </c>
      <c r="D115" s="10" t="s">
        <v>383</v>
      </c>
      <c r="E115" s="4"/>
      <c r="F115" s="10" t="s">
        <v>720</v>
      </c>
      <c r="G115" s="10"/>
      <c r="H115" s="10"/>
      <c r="I115" s="20">
        <f t="shared" si="2"/>
        <v>0</v>
      </c>
      <c r="J115" s="10" t="s">
        <v>586</v>
      </c>
      <c r="K115" s="10">
        <v>1</v>
      </c>
      <c r="L115" s="4"/>
    </row>
    <row r="116" spans="1:12" hidden="1">
      <c r="A116" s="4"/>
      <c r="B116" s="4" t="s">
        <v>583</v>
      </c>
      <c r="C116" s="10" t="s">
        <v>92</v>
      </c>
      <c r="D116" s="10" t="s">
        <v>383</v>
      </c>
      <c r="E116" s="4"/>
      <c r="F116" s="10" t="s">
        <v>721</v>
      </c>
      <c r="G116" s="10"/>
      <c r="H116" s="10"/>
      <c r="I116" s="20">
        <f t="shared" si="2"/>
        <v>0</v>
      </c>
      <c r="J116" s="10" t="s">
        <v>586</v>
      </c>
      <c r="K116" s="10">
        <v>1</v>
      </c>
      <c r="L116" s="4"/>
    </row>
    <row r="117" spans="1:12" hidden="1">
      <c r="A117" s="4"/>
      <c r="B117" s="4" t="s">
        <v>583</v>
      </c>
      <c r="C117" s="10" t="s">
        <v>92</v>
      </c>
      <c r="D117" s="10" t="s">
        <v>383</v>
      </c>
      <c r="E117" s="4"/>
      <c r="F117" s="10" t="s">
        <v>722</v>
      </c>
      <c r="G117" s="10"/>
      <c r="H117" s="10"/>
      <c r="I117" s="20">
        <f t="shared" si="2"/>
        <v>0</v>
      </c>
      <c r="J117" s="10" t="s">
        <v>586</v>
      </c>
      <c r="K117" s="10">
        <v>1</v>
      </c>
      <c r="L117" s="4"/>
    </row>
    <row r="118" spans="1:12" hidden="1">
      <c r="A118" s="4"/>
      <c r="B118" s="4" t="s">
        <v>583</v>
      </c>
      <c r="C118" s="10" t="s">
        <v>92</v>
      </c>
      <c r="D118" s="10" t="s">
        <v>723</v>
      </c>
      <c r="E118" s="4"/>
      <c r="F118" s="10" t="s">
        <v>724</v>
      </c>
      <c r="G118" s="10"/>
      <c r="H118" s="10"/>
      <c r="I118" s="20">
        <f t="shared" si="2"/>
        <v>0</v>
      </c>
      <c r="J118" s="10" t="s">
        <v>586</v>
      </c>
      <c r="K118" s="10">
        <v>1</v>
      </c>
      <c r="L118" s="4"/>
    </row>
    <row r="119" spans="1:12" hidden="1">
      <c r="A119" s="4"/>
      <c r="B119" s="4" t="s">
        <v>583</v>
      </c>
      <c r="C119" s="10" t="s">
        <v>92</v>
      </c>
      <c r="D119" s="10" t="s">
        <v>723</v>
      </c>
      <c r="E119" s="4"/>
      <c r="F119" s="10" t="s">
        <v>725</v>
      </c>
      <c r="G119" s="10"/>
      <c r="H119" s="10"/>
      <c r="I119" s="20">
        <f t="shared" si="2"/>
        <v>0</v>
      </c>
      <c r="J119" s="10" t="s">
        <v>586</v>
      </c>
      <c r="K119" s="10">
        <v>1</v>
      </c>
      <c r="L119" s="4"/>
    </row>
    <row r="120" spans="1:12" hidden="1">
      <c r="A120" s="4"/>
      <c r="B120" s="4" t="s">
        <v>583</v>
      </c>
      <c r="C120" s="10" t="s">
        <v>92</v>
      </c>
      <c r="D120" s="10" t="s">
        <v>723</v>
      </c>
      <c r="E120" s="4"/>
      <c r="F120" s="10" t="s">
        <v>726</v>
      </c>
      <c r="G120" s="10"/>
      <c r="H120" s="10"/>
      <c r="I120" s="20">
        <f t="shared" si="2"/>
        <v>0</v>
      </c>
      <c r="J120" s="10" t="s">
        <v>586</v>
      </c>
      <c r="K120" s="10">
        <v>1</v>
      </c>
      <c r="L120" s="4"/>
    </row>
    <row r="121" spans="1:12" hidden="1">
      <c r="A121" s="4"/>
      <c r="B121" s="4" t="s">
        <v>583</v>
      </c>
      <c r="C121" s="10" t="s">
        <v>92</v>
      </c>
      <c r="D121" s="10" t="s">
        <v>723</v>
      </c>
      <c r="E121" s="4"/>
      <c r="F121" s="10" t="s">
        <v>727</v>
      </c>
      <c r="G121" s="4"/>
      <c r="H121" s="4"/>
      <c r="I121" s="20">
        <f t="shared" si="2"/>
        <v>0</v>
      </c>
      <c r="J121" s="10" t="s">
        <v>586</v>
      </c>
      <c r="K121" s="10">
        <v>1</v>
      </c>
      <c r="L121" s="4"/>
    </row>
    <row r="122" spans="1:12" hidden="1">
      <c r="A122" s="4"/>
      <c r="B122" s="4" t="s">
        <v>583</v>
      </c>
      <c r="C122" s="10" t="s">
        <v>92</v>
      </c>
      <c r="D122" s="10" t="s">
        <v>117</v>
      </c>
      <c r="E122" s="4"/>
      <c r="F122" s="10" t="s">
        <v>728</v>
      </c>
      <c r="G122" s="10"/>
      <c r="H122" s="10"/>
      <c r="I122" s="20">
        <f t="shared" si="2"/>
        <v>0</v>
      </c>
      <c r="J122" s="10" t="s">
        <v>586</v>
      </c>
      <c r="K122" s="10">
        <v>1</v>
      </c>
      <c r="L122" s="4"/>
    </row>
    <row r="123" spans="1:12" hidden="1">
      <c r="A123" s="4"/>
      <c r="B123" s="4" t="s">
        <v>583</v>
      </c>
      <c r="C123" s="10" t="s">
        <v>92</v>
      </c>
      <c r="D123" s="10" t="s">
        <v>117</v>
      </c>
      <c r="E123" s="4"/>
      <c r="F123" s="10" t="s">
        <v>729</v>
      </c>
      <c r="G123" s="10"/>
      <c r="H123" s="10"/>
      <c r="I123" s="20">
        <f t="shared" si="2"/>
        <v>0</v>
      </c>
      <c r="J123" s="10" t="s">
        <v>586</v>
      </c>
      <c r="K123" s="10">
        <v>1</v>
      </c>
      <c r="L123" s="4"/>
    </row>
    <row r="124" spans="1:12" hidden="1">
      <c r="A124" s="4"/>
      <c r="B124" s="4" t="s">
        <v>583</v>
      </c>
      <c r="C124" s="10" t="s">
        <v>92</v>
      </c>
      <c r="D124" s="10" t="s">
        <v>117</v>
      </c>
      <c r="E124" s="4"/>
      <c r="F124" s="10" t="s">
        <v>118</v>
      </c>
      <c r="G124" s="10"/>
      <c r="H124" s="10"/>
      <c r="I124" s="20">
        <f t="shared" si="2"/>
        <v>0</v>
      </c>
      <c r="J124" s="10" t="s">
        <v>586</v>
      </c>
      <c r="K124" s="10">
        <v>1</v>
      </c>
      <c r="L124" s="4"/>
    </row>
    <row r="125" spans="1:12" hidden="1">
      <c r="A125" s="4"/>
      <c r="B125" s="4" t="s">
        <v>583</v>
      </c>
      <c r="C125" s="10" t="s">
        <v>92</v>
      </c>
      <c r="D125" s="10" t="s">
        <v>117</v>
      </c>
      <c r="E125" s="4"/>
      <c r="F125" s="10" t="s">
        <v>730</v>
      </c>
      <c r="G125" s="10"/>
      <c r="H125" s="10"/>
      <c r="I125" s="20">
        <f t="shared" si="2"/>
        <v>0</v>
      </c>
      <c r="J125" s="10" t="s">
        <v>586</v>
      </c>
      <c r="K125" s="10">
        <v>1</v>
      </c>
      <c r="L125" s="4"/>
    </row>
    <row r="126" spans="1:12" hidden="1">
      <c r="A126" s="4"/>
      <c r="B126" s="4" t="s">
        <v>583</v>
      </c>
      <c r="C126" s="10" t="s">
        <v>92</v>
      </c>
      <c r="D126" s="10" t="s">
        <v>117</v>
      </c>
      <c r="E126" s="4"/>
      <c r="F126" s="10" t="s">
        <v>731</v>
      </c>
      <c r="G126" s="10"/>
      <c r="H126" s="10"/>
      <c r="I126" s="20">
        <f t="shared" si="2"/>
        <v>0</v>
      </c>
      <c r="J126" s="10" t="s">
        <v>586</v>
      </c>
      <c r="K126" s="10">
        <v>1</v>
      </c>
      <c r="L126" s="4"/>
    </row>
    <row r="127" spans="1:12" hidden="1">
      <c r="A127" s="4"/>
      <c r="B127" s="4" t="s">
        <v>583</v>
      </c>
      <c r="C127" s="10" t="s">
        <v>92</v>
      </c>
      <c r="D127" s="10" t="s">
        <v>732</v>
      </c>
      <c r="E127" s="4"/>
      <c r="F127" s="10" t="s">
        <v>733</v>
      </c>
      <c r="G127" s="10"/>
      <c r="H127" s="10"/>
      <c r="I127" s="20">
        <f t="shared" si="2"/>
        <v>0</v>
      </c>
      <c r="J127" s="10" t="s">
        <v>586</v>
      </c>
      <c r="K127" s="10">
        <v>1</v>
      </c>
      <c r="L127" s="4"/>
    </row>
    <row r="128" spans="1:12" hidden="1">
      <c r="A128" s="4"/>
      <c r="B128" s="4" t="s">
        <v>583</v>
      </c>
      <c r="C128" s="10" t="s">
        <v>92</v>
      </c>
      <c r="D128" s="10" t="s">
        <v>732</v>
      </c>
      <c r="E128" s="4"/>
      <c r="F128" s="10" t="s">
        <v>734</v>
      </c>
      <c r="G128" s="10"/>
      <c r="H128" s="10"/>
      <c r="I128" s="20">
        <f t="shared" si="2"/>
        <v>0</v>
      </c>
      <c r="J128" s="10" t="s">
        <v>586</v>
      </c>
      <c r="K128" s="10">
        <v>1</v>
      </c>
      <c r="L128" s="4"/>
    </row>
    <row r="129" spans="1:12" hidden="1">
      <c r="A129" s="4"/>
      <c r="B129" s="4" t="s">
        <v>583</v>
      </c>
      <c r="C129" s="10" t="s">
        <v>92</v>
      </c>
      <c r="D129" s="10" t="s">
        <v>732</v>
      </c>
      <c r="E129" s="4"/>
      <c r="F129" s="10" t="s">
        <v>735</v>
      </c>
      <c r="G129" s="10"/>
      <c r="H129" s="10"/>
      <c r="I129" s="20">
        <f t="shared" si="2"/>
        <v>0</v>
      </c>
      <c r="J129" s="10" t="s">
        <v>586</v>
      </c>
      <c r="K129" s="10">
        <v>1</v>
      </c>
      <c r="L129" s="4"/>
    </row>
    <row r="130" spans="1:12" hidden="1">
      <c r="A130" s="4"/>
      <c r="B130" s="4" t="s">
        <v>583</v>
      </c>
      <c r="C130" s="10" t="s">
        <v>92</v>
      </c>
      <c r="D130" s="10" t="s">
        <v>388</v>
      </c>
      <c r="E130" s="4"/>
      <c r="F130" s="10" t="s">
        <v>389</v>
      </c>
      <c r="G130" s="10"/>
      <c r="H130" s="10"/>
      <c r="I130" s="20">
        <f t="shared" si="2"/>
        <v>0</v>
      </c>
      <c r="J130" s="10" t="s">
        <v>586</v>
      </c>
      <c r="K130" s="10">
        <v>1</v>
      </c>
      <c r="L130" s="4"/>
    </row>
    <row r="131" spans="1:12" hidden="1">
      <c r="A131" s="4"/>
      <c r="B131" s="4" t="s">
        <v>583</v>
      </c>
      <c r="C131" s="10" t="s">
        <v>92</v>
      </c>
      <c r="D131" s="10" t="s">
        <v>414</v>
      </c>
      <c r="E131" s="4"/>
      <c r="F131" s="10" t="s">
        <v>415</v>
      </c>
      <c r="G131" s="10"/>
      <c r="H131" s="10"/>
      <c r="I131" s="20">
        <f t="shared" si="2"/>
        <v>0</v>
      </c>
      <c r="J131" s="10" t="s">
        <v>586</v>
      </c>
      <c r="K131" s="10">
        <v>1</v>
      </c>
      <c r="L131" s="4"/>
    </row>
    <row r="132" spans="1:12" hidden="1">
      <c r="A132" s="4"/>
      <c r="B132" s="4" t="s">
        <v>583</v>
      </c>
      <c r="C132" s="10" t="s">
        <v>92</v>
      </c>
      <c r="D132" s="10" t="s">
        <v>414</v>
      </c>
      <c r="E132" s="4"/>
      <c r="F132" s="10" t="s">
        <v>736</v>
      </c>
      <c r="G132" s="10"/>
      <c r="H132" s="10"/>
      <c r="I132" s="20">
        <f t="shared" si="2"/>
        <v>0</v>
      </c>
      <c r="J132" s="10" t="s">
        <v>586</v>
      </c>
      <c r="K132" s="10">
        <v>1</v>
      </c>
      <c r="L132" s="4"/>
    </row>
    <row r="133" spans="1:12" hidden="1">
      <c r="A133" s="4"/>
      <c r="B133" s="4" t="s">
        <v>583</v>
      </c>
      <c r="C133" s="10" t="s">
        <v>92</v>
      </c>
      <c r="D133" s="10" t="s">
        <v>737</v>
      </c>
      <c r="E133" s="4"/>
      <c r="F133" s="10" t="s">
        <v>738</v>
      </c>
      <c r="G133" s="10"/>
      <c r="H133" s="10"/>
      <c r="I133" s="20">
        <f t="shared" si="2"/>
        <v>0</v>
      </c>
      <c r="J133" s="10" t="s">
        <v>586</v>
      </c>
      <c r="K133" s="10">
        <v>1</v>
      </c>
      <c r="L133" s="4"/>
    </row>
    <row r="134" spans="1:12" hidden="1">
      <c r="A134" s="4"/>
      <c r="B134" s="4" t="s">
        <v>583</v>
      </c>
      <c r="C134" s="10" t="s">
        <v>92</v>
      </c>
      <c r="D134" s="10" t="s">
        <v>425</v>
      </c>
      <c r="E134" s="4"/>
      <c r="F134" s="10" t="s">
        <v>739</v>
      </c>
      <c r="G134" s="10"/>
      <c r="H134" s="10"/>
      <c r="I134" s="20">
        <f t="shared" si="2"/>
        <v>0</v>
      </c>
      <c r="J134" s="10" t="s">
        <v>586</v>
      </c>
      <c r="K134" s="10">
        <v>1</v>
      </c>
      <c r="L134" s="4"/>
    </row>
    <row r="135" spans="1:12" hidden="1">
      <c r="A135" s="4"/>
      <c r="B135" s="4" t="s">
        <v>583</v>
      </c>
      <c r="C135" s="10" t="s">
        <v>92</v>
      </c>
      <c r="D135" s="10" t="s">
        <v>740</v>
      </c>
      <c r="E135" s="4"/>
      <c r="F135" s="10" t="s">
        <v>741</v>
      </c>
      <c r="G135" s="10"/>
      <c r="H135" s="10"/>
      <c r="I135" s="20">
        <f t="shared" si="2"/>
        <v>0</v>
      </c>
      <c r="J135" s="10" t="s">
        <v>586</v>
      </c>
      <c r="K135" s="10">
        <v>1</v>
      </c>
      <c r="L135" s="4"/>
    </row>
    <row r="136" spans="1:12" hidden="1">
      <c r="A136" s="4"/>
      <c r="B136" s="4" t="s">
        <v>583</v>
      </c>
      <c r="C136" s="10" t="s">
        <v>92</v>
      </c>
      <c r="D136" s="10" t="s">
        <v>425</v>
      </c>
      <c r="E136" s="4"/>
      <c r="F136" s="10" t="s">
        <v>742</v>
      </c>
      <c r="G136" s="10"/>
      <c r="H136" s="10"/>
      <c r="I136" s="20">
        <f t="shared" si="2"/>
        <v>0</v>
      </c>
      <c r="J136" s="10" t="s">
        <v>586</v>
      </c>
      <c r="K136" s="10">
        <v>1</v>
      </c>
      <c r="L136" s="4"/>
    </row>
    <row r="137" spans="1:12" hidden="1">
      <c r="A137" s="4"/>
      <c r="B137" s="4" t="s">
        <v>583</v>
      </c>
      <c r="C137" s="10" t="s">
        <v>92</v>
      </c>
      <c r="D137" s="10" t="s">
        <v>425</v>
      </c>
      <c r="E137" s="4"/>
      <c r="F137" s="10" t="s">
        <v>743</v>
      </c>
      <c r="G137" s="10"/>
      <c r="H137" s="10"/>
      <c r="I137" s="20">
        <f t="shared" si="2"/>
        <v>0</v>
      </c>
      <c r="J137" s="10" t="s">
        <v>586</v>
      </c>
      <c r="K137" s="10">
        <v>1</v>
      </c>
      <c r="L137" s="4"/>
    </row>
    <row r="138" spans="1:12" hidden="1">
      <c r="A138" s="4"/>
      <c r="B138" s="4" t="s">
        <v>583</v>
      </c>
      <c r="C138" s="10" t="s">
        <v>92</v>
      </c>
      <c r="D138" s="10" t="s">
        <v>425</v>
      </c>
      <c r="E138" s="4"/>
      <c r="F138" s="10" t="s">
        <v>427</v>
      </c>
      <c r="G138" s="10"/>
      <c r="H138" s="10"/>
      <c r="I138" s="20">
        <f t="shared" si="2"/>
        <v>0</v>
      </c>
      <c r="J138" s="10" t="s">
        <v>586</v>
      </c>
      <c r="K138" s="10">
        <v>1</v>
      </c>
      <c r="L138" s="4"/>
    </row>
    <row r="139" spans="1:12" hidden="1">
      <c r="A139" s="4"/>
      <c r="B139" s="4" t="s">
        <v>583</v>
      </c>
      <c r="C139" s="10" t="s">
        <v>92</v>
      </c>
      <c r="D139" s="10" t="s">
        <v>425</v>
      </c>
      <c r="E139" s="4"/>
      <c r="F139" s="10" t="s">
        <v>744</v>
      </c>
      <c r="G139" s="10"/>
      <c r="H139" s="10"/>
      <c r="I139" s="20">
        <f t="shared" si="2"/>
        <v>0</v>
      </c>
      <c r="J139" s="10" t="s">
        <v>586</v>
      </c>
      <c r="K139" s="10">
        <v>1</v>
      </c>
      <c r="L139" s="4"/>
    </row>
    <row r="140" spans="1:12" hidden="1">
      <c r="A140" s="4"/>
      <c r="B140" s="4" t="s">
        <v>583</v>
      </c>
      <c r="C140" s="10" t="s">
        <v>92</v>
      </c>
      <c r="D140" s="10" t="s">
        <v>425</v>
      </c>
      <c r="E140" s="4"/>
      <c r="F140" s="10" t="s">
        <v>432</v>
      </c>
      <c r="G140" s="10"/>
      <c r="H140" s="10"/>
      <c r="I140" s="20">
        <f t="shared" ref="I140:I203" si="3">G140+H140</f>
        <v>0</v>
      </c>
      <c r="J140" s="10" t="s">
        <v>586</v>
      </c>
      <c r="K140" s="10">
        <v>1</v>
      </c>
      <c r="L140" s="4"/>
    </row>
    <row r="141" spans="1:12" hidden="1">
      <c r="A141" s="4"/>
      <c r="B141" s="4" t="s">
        <v>583</v>
      </c>
      <c r="C141" s="10" t="s">
        <v>92</v>
      </c>
      <c r="D141" s="10" t="s">
        <v>425</v>
      </c>
      <c r="E141" s="4"/>
      <c r="F141" s="10" t="s">
        <v>745</v>
      </c>
      <c r="G141" s="10"/>
      <c r="H141" s="10"/>
      <c r="I141" s="20">
        <f t="shared" si="3"/>
        <v>0</v>
      </c>
      <c r="J141" s="10" t="s">
        <v>586</v>
      </c>
      <c r="K141" s="10">
        <v>1</v>
      </c>
      <c r="L141" s="4"/>
    </row>
    <row r="142" spans="1:12" hidden="1">
      <c r="A142" s="4"/>
      <c r="B142" s="4" t="s">
        <v>583</v>
      </c>
      <c r="C142" s="10" t="s">
        <v>92</v>
      </c>
      <c r="D142" s="10" t="s">
        <v>425</v>
      </c>
      <c r="E142" s="4"/>
      <c r="F142" s="10" t="s">
        <v>746</v>
      </c>
      <c r="G142" s="10"/>
      <c r="H142" s="10"/>
      <c r="I142" s="20">
        <f t="shared" si="3"/>
        <v>0</v>
      </c>
      <c r="J142" s="10" t="s">
        <v>586</v>
      </c>
      <c r="K142" s="10">
        <v>1</v>
      </c>
      <c r="L142" s="4"/>
    </row>
    <row r="143" spans="1:12" hidden="1">
      <c r="A143" s="4"/>
      <c r="B143" s="4" t="s">
        <v>583</v>
      </c>
      <c r="C143" s="10" t="s">
        <v>92</v>
      </c>
      <c r="D143" s="10" t="s">
        <v>747</v>
      </c>
      <c r="E143" s="4"/>
      <c r="F143" s="10" t="s">
        <v>748</v>
      </c>
      <c r="G143" s="10"/>
      <c r="H143" s="10"/>
      <c r="I143" s="20">
        <f t="shared" si="3"/>
        <v>0</v>
      </c>
      <c r="J143" s="10" t="s">
        <v>586</v>
      </c>
      <c r="K143" s="10">
        <v>1</v>
      </c>
      <c r="L143" s="4"/>
    </row>
    <row r="144" spans="1:12" hidden="1">
      <c r="A144" s="4"/>
      <c r="B144" s="4" t="s">
        <v>583</v>
      </c>
      <c r="C144" s="10" t="s">
        <v>92</v>
      </c>
      <c r="D144" s="26" t="s">
        <v>749</v>
      </c>
      <c r="E144" s="10"/>
      <c r="F144" s="10" t="s">
        <v>750</v>
      </c>
      <c r="G144" s="19"/>
      <c r="H144" s="10"/>
      <c r="I144" s="20">
        <f t="shared" si="3"/>
        <v>0</v>
      </c>
      <c r="J144" s="10" t="s">
        <v>586</v>
      </c>
      <c r="K144" s="10">
        <v>1</v>
      </c>
      <c r="L144" s="4"/>
    </row>
    <row r="145" spans="1:12" hidden="1">
      <c r="A145" s="4"/>
      <c r="B145" s="4" t="s">
        <v>583</v>
      </c>
      <c r="C145" s="10" t="s">
        <v>92</v>
      </c>
      <c r="D145" s="26" t="s">
        <v>751</v>
      </c>
      <c r="E145" s="10"/>
      <c r="F145" s="10" t="s">
        <v>752</v>
      </c>
      <c r="G145" s="19"/>
      <c r="H145" s="10"/>
      <c r="I145" s="20">
        <f t="shared" si="3"/>
        <v>0</v>
      </c>
      <c r="J145" s="10" t="s">
        <v>586</v>
      </c>
      <c r="K145" s="10">
        <v>1</v>
      </c>
      <c r="L145" s="4"/>
    </row>
    <row r="146" spans="1:12" hidden="1">
      <c r="A146" s="4"/>
      <c r="B146" s="4" t="s">
        <v>583</v>
      </c>
      <c r="C146" s="10" t="s">
        <v>92</v>
      </c>
      <c r="D146" s="26" t="s">
        <v>753</v>
      </c>
      <c r="E146" s="10"/>
      <c r="F146" s="10" t="s">
        <v>754</v>
      </c>
      <c r="G146" s="19"/>
      <c r="H146" s="10"/>
      <c r="I146" s="20">
        <f t="shared" si="3"/>
        <v>0</v>
      </c>
      <c r="J146" s="10" t="s">
        <v>586</v>
      </c>
      <c r="K146" s="10">
        <v>1</v>
      </c>
      <c r="L146" s="4"/>
    </row>
    <row r="147" spans="1:12" hidden="1">
      <c r="A147" s="4"/>
      <c r="B147" s="4" t="s">
        <v>583</v>
      </c>
      <c r="C147" s="10" t="s">
        <v>92</v>
      </c>
      <c r="D147" s="26" t="s">
        <v>755</v>
      </c>
      <c r="E147" s="10"/>
      <c r="F147" s="10" t="s">
        <v>756</v>
      </c>
      <c r="G147" s="19"/>
      <c r="H147" s="10"/>
      <c r="I147" s="20">
        <f t="shared" si="3"/>
        <v>0</v>
      </c>
      <c r="J147" s="10" t="s">
        <v>586</v>
      </c>
      <c r="K147" s="10">
        <v>1</v>
      </c>
      <c r="L147" s="4"/>
    </row>
    <row r="148" spans="1:12" hidden="1">
      <c r="A148" s="4"/>
      <c r="B148" s="4" t="s">
        <v>583</v>
      </c>
      <c r="C148" s="10" t="s">
        <v>92</v>
      </c>
      <c r="D148" s="10" t="s">
        <v>757</v>
      </c>
      <c r="E148" s="4"/>
      <c r="F148" s="10" t="s">
        <v>758</v>
      </c>
      <c r="G148" s="10"/>
      <c r="H148" s="10"/>
      <c r="I148" s="20">
        <f t="shared" si="3"/>
        <v>0</v>
      </c>
      <c r="J148" s="10" t="s">
        <v>586</v>
      </c>
      <c r="K148" s="10">
        <v>1</v>
      </c>
      <c r="L148" s="10"/>
    </row>
    <row r="149" spans="1:12" hidden="1">
      <c r="A149" s="4"/>
      <c r="B149" s="4" t="s">
        <v>583</v>
      </c>
      <c r="C149" s="10" t="s">
        <v>92</v>
      </c>
      <c r="D149" s="10" t="s">
        <v>441</v>
      </c>
      <c r="E149" s="4"/>
      <c r="F149" s="10" t="s">
        <v>759</v>
      </c>
      <c r="G149" s="10"/>
      <c r="H149" s="10"/>
      <c r="I149" s="20">
        <f t="shared" si="3"/>
        <v>0</v>
      </c>
      <c r="J149" s="10" t="s">
        <v>586</v>
      </c>
      <c r="K149" s="10">
        <v>1</v>
      </c>
      <c r="L149" s="4"/>
    </row>
    <row r="150" spans="1:12" hidden="1">
      <c r="A150" s="4"/>
      <c r="B150" s="4" t="s">
        <v>583</v>
      </c>
      <c r="C150" s="10" t="s">
        <v>92</v>
      </c>
      <c r="D150" s="10" t="s">
        <v>441</v>
      </c>
      <c r="E150" s="4"/>
      <c r="F150" s="10" t="s">
        <v>760</v>
      </c>
      <c r="G150" s="10"/>
      <c r="H150" s="10"/>
      <c r="I150" s="20">
        <f t="shared" si="3"/>
        <v>0</v>
      </c>
      <c r="J150" s="10" t="s">
        <v>586</v>
      </c>
      <c r="K150" s="10">
        <v>1</v>
      </c>
      <c r="L150" s="10"/>
    </row>
    <row r="151" spans="1:12" hidden="1">
      <c r="A151" s="4"/>
      <c r="B151" s="4" t="s">
        <v>583</v>
      </c>
      <c r="C151" s="10" t="s">
        <v>92</v>
      </c>
      <c r="D151" s="10" t="s">
        <v>441</v>
      </c>
      <c r="E151" s="4"/>
      <c r="F151" s="10" t="s">
        <v>442</v>
      </c>
      <c r="G151" s="10"/>
      <c r="H151" s="10"/>
      <c r="I151" s="20">
        <f t="shared" si="3"/>
        <v>0</v>
      </c>
      <c r="J151" s="10" t="s">
        <v>586</v>
      </c>
      <c r="K151" s="10">
        <v>1</v>
      </c>
      <c r="L151" s="10"/>
    </row>
    <row r="152" spans="1:12" hidden="1">
      <c r="A152" s="4"/>
      <c r="B152" s="4" t="s">
        <v>583</v>
      </c>
      <c r="C152" s="10" t="s">
        <v>92</v>
      </c>
      <c r="D152" s="10" t="s">
        <v>441</v>
      </c>
      <c r="E152" s="4"/>
      <c r="F152" s="10" t="s">
        <v>446</v>
      </c>
      <c r="G152" s="10"/>
      <c r="H152" s="10"/>
      <c r="I152" s="20">
        <f t="shared" si="3"/>
        <v>0</v>
      </c>
      <c r="J152" s="10" t="s">
        <v>586</v>
      </c>
      <c r="K152" s="10">
        <v>1</v>
      </c>
      <c r="L152" s="4"/>
    </row>
    <row r="153" spans="1:12" hidden="1">
      <c r="A153" s="4"/>
      <c r="B153" s="4" t="s">
        <v>583</v>
      </c>
      <c r="C153" s="10" t="s">
        <v>92</v>
      </c>
      <c r="D153" s="10" t="s">
        <v>441</v>
      </c>
      <c r="E153" s="4"/>
      <c r="F153" s="10" t="s">
        <v>761</v>
      </c>
      <c r="G153" s="10"/>
      <c r="H153" s="10"/>
      <c r="I153" s="20">
        <f t="shared" si="3"/>
        <v>0</v>
      </c>
      <c r="J153" s="10" t="s">
        <v>586</v>
      </c>
      <c r="K153" s="10">
        <v>1</v>
      </c>
      <c r="L153" s="4"/>
    </row>
    <row r="154" spans="1:12" hidden="1">
      <c r="A154" s="4"/>
      <c r="B154" s="4" t="s">
        <v>583</v>
      </c>
      <c r="C154" s="10" t="s">
        <v>92</v>
      </c>
      <c r="D154" s="10" t="s">
        <v>762</v>
      </c>
      <c r="E154" s="4"/>
      <c r="F154" s="10" t="s">
        <v>763</v>
      </c>
      <c r="G154" s="10"/>
      <c r="H154" s="10"/>
      <c r="I154" s="20">
        <f t="shared" si="3"/>
        <v>0</v>
      </c>
      <c r="J154" s="10" t="s">
        <v>586</v>
      </c>
      <c r="K154" s="10">
        <v>1</v>
      </c>
      <c r="L154" s="4"/>
    </row>
    <row r="155" spans="1:12" hidden="1">
      <c r="A155" s="4"/>
      <c r="B155" s="4" t="s">
        <v>583</v>
      </c>
      <c r="C155" s="10" t="s">
        <v>92</v>
      </c>
      <c r="D155" s="10" t="s">
        <v>762</v>
      </c>
      <c r="E155" s="4"/>
      <c r="F155" s="10" t="s">
        <v>764</v>
      </c>
      <c r="G155" s="10"/>
      <c r="H155" s="10"/>
      <c r="I155" s="20">
        <f t="shared" si="3"/>
        <v>0</v>
      </c>
      <c r="J155" s="10" t="s">
        <v>586</v>
      </c>
      <c r="K155" s="10">
        <v>1</v>
      </c>
      <c r="L155" s="4"/>
    </row>
    <row r="156" spans="1:12" hidden="1">
      <c r="A156" s="4"/>
      <c r="B156" s="4" t="s">
        <v>583</v>
      </c>
      <c r="C156" s="10" t="s">
        <v>92</v>
      </c>
      <c r="D156" s="10" t="s">
        <v>765</v>
      </c>
      <c r="E156" s="4"/>
      <c r="F156" s="10" t="s">
        <v>766</v>
      </c>
      <c r="G156" s="10"/>
      <c r="H156" s="10"/>
      <c r="I156" s="20">
        <f t="shared" si="3"/>
        <v>0</v>
      </c>
      <c r="J156" s="10" t="s">
        <v>586</v>
      </c>
      <c r="K156" s="10">
        <v>1</v>
      </c>
      <c r="L156" s="4"/>
    </row>
    <row r="157" spans="1:12" hidden="1">
      <c r="A157" s="4"/>
      <c r="B157" s="4" t="s">
        <v>583</v>
      </c>
      <c r="C157" s="10" t="s">
        <v>92</v>
      </c>
      <c r="D157" s="10" t="s">
        <v>767</v>
      </c>
      <c r="E157" s="4"/>
      <c r="F157" s="10" t="s">
        <v>768</v>
      </c>
      <c r="G157" s="10"/>
      <c r="H157" s="10"/>
      <c r="I157" s="20">
        <f t="shared" si="3"/>
        <v>0</v>
      </c>
      <c r="J157" s="10" t="s">
        <v>586</v>
      </c>
      <c r="K157" s="10">
        <v>1</v>
      </c>
      <c r="L157" s="4"/>
    </row>
    <row r="158" spans="1:12" hidden="1">
      <c r="A158" s="4"/>
      <c r="B158" s="4" t="s">
        <v>583</v>
      </c>
      <c r="C158" s="10" t="s">
        <v>92</v>
      </c>
      <c r="D158" s="10" t="s">
        <v>769</v>
      </c>
      <c r="E158" s="4"/>
      <c r="F158" s="10" t="s">
        <v>770</v>
      </c>
      <c r="G158" s="10"/>
      <c r="H158" s="10"/>
      <c r="I158" s="20">
        <f t="shared" si="3"/>
        <v>0</v>
      </c>
      <c r="J158" s="10" t="s">
        <v>586</v>
      </c>
      <c r="K158" s="10">
        <v>1</v>
      </c>
      <c r="L158" s="4"/>
    </row>
    <row r="159" spans="1:12" hidden="1">
      <c r="A159" s="4"/>
      <c r="B159" s="4" t="s">
        <v>583</v>
      </c>
      <c r="C159" s="10" t="s">
        <v>92</v>
      </c>
      <c r="D159" s="10" t="s">
        <v>450</v>
      </c>
      <c r="E159" s="4"/>
      <c r="F159" s="10" t="s">
        <v>771</v>
      </c>
      <c r="G159" s="10"/>
      <c r="H159" s="10"/>
      <c r="I159" s="20">
        <f t="shared" si="3"/>
        <v>0</v>
      </c>
      <c r="J159" s="10" t="s">
        <v>586</v>
      </c>
      <c r="K159" s="10">
        <v>1</v>
      </c>
      <c r="L159" s="4"/>
    </row>
    <row r="160" spans="1:12" hidden="1">
      <c r="A160" s="4"/>
      <c r="B160" s="4" t="s">
        <v>583</v>
      </c>
      <c r="C160" s="10" t="s">
        <v>92</v>
      </c>
      <c r="D160" s="10" t="s">
        <v>450</v>
      </c>
      <c r="E160" s="4"/>
      <c r="F160" s="10" t="s">
        <v>772</v>
      </c>
      <c r="G160" s="10"/>
      <c r="H160" s="10"/>
      <c r="I160" s="20">
        <f t="shared" si="3"/>
        <v>0</v>
      </c>
      <c r="J160" s="10" t="s">
        <v>586</v>
      </c>
      <c r="K160" s="10">
        <v>1</v>
      </c>
      <c r="L160" s="4"/>
    </row>
    <row r="161" spans="1:12" hidden="1">
      <c r="A161" s="4"/>
      <c r="B161" s="4" t="s">
        <v>583</v>
      </c>
      <c r="C161" s="10" t="s">
        <v>122</v>
      </c>
      <c r="D161" s="10" t="s">
        <v>773</v>
      </c>
      <c r="E161" s="4"/>
      <c r="F161" s="10" t="s">
        <v>774</v>
      </c>
      <c r="G161" s="10"/>
      <c r="H161" s="10"/>
      <c r="I161" s="20">
        <f t="shared" si="3"/>
        <v>0</v>
      </c>
      <c r="J161" s="10" t="s">
        <v>586</v>
      </c>
      <c r="K161" s="10">
        <v>1</v>
      </c>
      <c r="L161" s="4"/>
    </row>
    <row r="162" spans="1:12" hidden="1">
      <c r="A162" s="4"/>
      <c r="B162" s="4" t="s">
        <v>583</v>
      </c>
      <c r="C162" s="10" t="s">
        <v>122</v>
      </c>
      <c r="D162" s="10" t="s">
        <v>773</v>
      </c>
      <c r="E162" s="4"/>
      <c r="F162" s="10" t="s">
        <v>775</v>
      </c>
      <c r="G162" s="10"/>
      <c r="H162" s="10"/>
      <c r="I162" s="20">
        <f t="shared" si="3"/>
        <v>0</v>
      </c>
      <c r="J162" s="10" t="s">
        <v>586</v>
      </c>
      <c r="K162" s="10">
        <v>1</v>
      </c>
      <c r="L162" s="4"/>
    </row>
    <row r="163" spans="1:12" hidden="1">
      <c r="A163" s="4"/>
      <c r="B163" s="4" t="s">
        <v>583</v>
      </c>
      <c r="C163" s="10" t="s">
        <v>122</v>
      </c>
      <c r="D163" s="10" t="s">
        <v>463</v>
      </c>
      <c r="E163" s="4"/>
      <c r="F163" s="10" t="s">
        <v>464</v>
      </c>
      <c r="G163" s="10"/>
      <c r="H163" s="10"/>
      <c r="I163" s="20">
        <f t="shared" si="3"/>
        <v>0</v>
      </c>
      <c r="J163" s="10" t="s">
        <v>586</v>
      </c>
      <c r="K163" s="10">
        <v>1</v>
      </c>
      <c r="L163" s="4"/>
    </row>
    <row r="164" spans="1:12" hidden="1">
      <c r="A164" s="4"/>
      <c r="B164" s="42" t="s">
        <v>583</v>
      </c>
      <c r="C164" s="10" t="s">
        <v>122</v>
      </c>
      <c r="D164" s="10" t="s">
        <v>776</v>
      </c>
      <c r="E164" s="4"/>
      <c r="F164" s="10" t="s">
        <v>777</v>
      </c>
      <c r="G164" s="10"/>
      <c r="H164" s="10"/>
      <c r="I164" s="20">
        <f t="shared" si="3"/>
        <v>0</v>
      </c>
      <c r="J164" s="10" t="s">
        <v>586</v>
      </c>
      <c r="K164" s="10">
        <v>1</v>
      </c>
      <c r="L164" s="4"/>
    </row>
    <row r="165" spans="1:12" hidden="1">
      <c r="A165" s="4"/>
      <c r="B165" s="42" t="s">
        <v>583</v>
      </c>
      <c r="C165" s="10" t="s">
        <v>122</v>
      </c>
      <c r="D165" s="10" t="s">
        <v>776</v>
      </c>
      <c r="E165" s="4"/>
      <c r="F165" s="10" t="s">
        <v>778</v>
      </c>
      <c r="G165" s="10"/>
      <c r="H165" s="10"/>
      <c r="I165" s="20">
        <f t="shared" si="3"/>
        <v>0</v>
      </c>
      <c r="J165" s="10" t="s">
        <v>586</v>
      </c>
      <c r="K165" s="10">
        <v>1</v>
      </c>
      <c r="L165" s="4"/>
    </row>
    <row r="166" spans="1:12" hidden="1">
      <c r="A166" s="4"/>
      <c r="B166" s="42" t="s">
        <v>583</v>
      </c>
      <c r="C166" s="10" t="s">
        <v>122</v>
      </c>
      <c r="D166" s="10" t="s">
        <v>779</v>
      </c>
      <c r="E166" s="4"/>
      <c r="F166" s="10" t="s">
        <v>780</v>
      </c>
      <c r="G166" s="10"/>
      <c r="H166" s="10"/>
      <c r="I166" s="20">
        <f t="shared" si="3"/>
        <v>0</v>
      </c>
      <c r="J166" s="10" t="s">
        <v>586</v>
      </c>
      <c r="K166" s="10">
        <v>1</v>
      </c>
      <c r="L166" s="4"/>
    </row>
    <row r="167" spans="1:12" hidden="1">
      <c r="A167" s="4"/>
      <c r="B167" s="42" t="s">
        <v>583</v>
      </c>
      <c r="C167" s="10" t="s">
        <v>122</v>
      </c>
      <c r="D167" s="10" t="s">
        <v>781</v>
      </c>
      <c r="E167" s="4"/>
      <c r="F167" s="10" t="s">
        <v>782</v>
      </c>
      <c r="G167" s="10"/>
      <c r="H167" s="10"/>
      <c r="I167" s="20">
        <f t="shared" si="3"/>
        <v>0</v>
      </c>
      <c r="J167" s="10" t="s">
        <v>586</v>
      </c>
      <c r="K167" s="10">
        <v>1</v>
      </c>
      <c r="L167" s="4"/>
    </row>
    <row r="168" spans="1:12" hidden="1">
      <c r="A168" s="4"/>
      <c r="B168" s="42" t="s">
        <v>583</v>
      </c>
      <c r="C168" s="10" t="s">
        <v>122</v>
      </c>
      <c r="D168" s="10" t="s">
        <v>781</v>
      </c>
      <c r="E168" s="4"/>
      <c r="F168" s="10" t="s">
        <v>783</v>
      </c>
      <c r="G168" s="10"/>
      <c r="H168" s="10"/>
      <c r="I168" s="20">
        <f t="shared" si="3"/>
        <v>0</v>
      </c>
      <c r="J168" s="10" t="s">
        <v>586</v>
      </c>
      <c r="K168" s="10">
        <v>1</v>
      </c>
      <c r="L168" s="4"/>
    </row>
    <row r="169" spans="1:12" hidden="1">
      <c r="A169" s="4"/>
      <c r="B169" s="42" t="s">
        <v>583</v>
      </c>
      <c r="C169" s="10" t="s">
        <v>122</v>
      </c>
      <c r="D169" s="10" t="s">
        <v>784</v>
      </c>
      <c r="E169" s="4"/>
      <c r="F169" s="10" t="s">
        <v>785</v>
      </c>
      <c r="G169" s="10"/>
      <c r="H169" s="10"/>
      <c r="I169" s="20">
        <f t="shared" si="3"/>
        <v>0</v>
      </c>
      <c r="J169" s="10" t="s">
        <v>586</v>
      </c>
      <c r="K169" s="10">
        <v>1</v>
      </c>
      <c r="L169" s="4"/>
    </row>
    <row r="170" spans="1:12" hidden="1">
      <c r="A170" s="4"/>
      <c r="B170" s="42" t="s">
        <v>583</v>
      </c>
      <c r="C170" s="10" t="s">
        <v>122</v>
      </c>
      <c r="D170" s="32" t="s">
        <v>786</v>
      </c>
      <c r="E170" s="4"/>
      <c r="F170" s="10" t="s">
        <v>787</v>
      </c>
      <c r="G170" s="10"/>
      <c r="H170" s="10"/>
      <c r="I170" s="20">
        <f t="shared" si="3"/>
        <v>0</v>
      </c>
      <c r="J170" s="10" t="s">
        <v>586</v>
      </c>
      <c r="K170" s="10">
        <v>1</v>
      </c>
      <c r="L170" s="4"/>
    </row>
    <row r="171" spans="1:12" hidden="1">
      <c r="A171" s="4"/>
      <c r="B171" s="42" t="s">
        <v>583</v>
      </c>
      <c r="C171" s="10" t="s">
        <v>122</v>
      </c>
      <c r="D171" s="10" t="s">
        <v>788</v>
      </c>
      <c r="E171" s="4"/>
      <c r="F171" s="31" t="s">
        <v>789</v>
      </c>
      <c r="G171" s="10"/>
      <c r="H171" s="10"/>
      <c r="I171" s="20">
        <f t="shared" si="3"/>
        <v>0</v>
      </c>
      <c r="J171" s="10" t="s">
        <v>586</v>
      </c>
      <c r="K171" s="10">
        <v>1</v>
      </c>
      <c r="L171" s="4"/>
    </row>
    <row r="172" spans="1:12" hidden="1">
      <c r="A172" s="4"/>
      <c r="B172" s="42" t="s">
        <v>583</v>
      </c>
      <c r="C172" s="10" t="s">
        <v>122</v>
      </c>
      <c r="D172" s="10" t="s">
        <v>790</v>
      </c>
      <c r="E172" s="4"/>
      <c r="F172" s="10" t="s">
        <v>791</v>
      </c>
      <c r="G172" s="10"/>
      <c r="H172" s="10"/>
      <c r="I172" s="20">
        <f t="shared" si="3"/>
        <v>0</v>
      </c>
      <c r="J172" s="10" t="s">
        <v>586</v>
      </c>
      <c r="K172" s="10">
        <v>1</v>
      </c>
      <c r="L172" s="4"/>
    </row>
    <row r="173" spans="1:12" hidden="1">
      <c r="A173" s="4"/>
      <c r="B173" s="42" t="s">
        <v>583</v>
      </c>
      <c r="C173" s="10" t="s">
        <v>122</v>
      </c>
      <c r="D173" s="10" t="s">
        <v>790</v>
      </c>
      <c r="E173" s="4"/>
      <c r="F173" s="10" t="s">
        <v>792</v>
      </c>
      <c r="G173" s="10"/>
      <c r="H173" s="10"/>
      <c r="I173" s="20">
        <f t="shared" si="3"/>
        <v>0</v>
      </c>
      <c r="J173" s="10" t="s">
        <v>586</v>
      </c>
      <c r="K173" s="10">
        <v>1</v>
      </c>
      <c r="L173" s="4"/>
    </row>
    <row r="174" spans="1:12" hidden="1">
      <c r="A174" s="4"/>
      <c r="B174" s="42" t="s">
        <v>583</v>
      </c>
      <c r="C174" s="10" t="s">
        <v>122</v>
      </c>
      <c r="D174" s="10" t="s">
        <v>793</v>
      </c>
      <c r="E174" s="4"/>
      <c r="F174" s="10" t="s">
        <v>794</v>
      </c>
      <c r="G174" s="10"/>
      <c r="H174" s="10"/>
      <c r="I174" s="20">
        <f t="shared" si="3"/>
        <v>0</v>
      </c>
      <c r="J174" s="10" t="s">
        <v>586</v>
      </c>
      <c r="K174" s="10">
        <v>1</v>
      </c>
      <c r="L174" s="4"/>
    </row>
    <row r="175" spans="1:12" hidden="1">
      <c r="A175" s="4"/>
      <c r="B175" s="4" t="s">
        <v>795</v>
      </c>
      <c r="C175" s="10" t="s">
        <v>92</v>
      </c>
      <c r="D175" s="10" t="s">
        <v>796</v>
      </c>
      <c r="E175" s="4"/>
      <c r="F175" s="10" t="s">
        <v>797</v>
      </c>
      <c r="G175" s="19"/>
      <c r="H175" s="19"/>
      <c r="I175" s="20">
        <f t="shared" si="3"/>
        <v>0</v>
      </c>
      <c r="J175" s="10" t="s">
        <v>798</v>
      </c>
      <c r="K175" s="10">
        <v>1</v>
      </c>
      <c r="L175" s="5"/>
    </row>
    <row r="176" spans="1:12" hidden="1">
      <c r="A176" s="4"/>
      <c r="B176" s="4" t="s">
        <v>799</v>
      </c>
      <c r="C176" s="10" t="s">
        <v>92</v>
      </c>
      <c r="D176" s="26" t="s">
        <v>749</v>
      </c>
      <c r="E176" s="4"/>
      <c r="F176" s="10" t="s">
        <v>800</v>
      </c>
      <c r="G176" s="19"/>
      <c r="H176" s="19"/>
      <c r="I176" s="20">
        <f t="shared" si="3"/>
        <v>0</v>
      </c>
      <c r="J176" s="10" t="s">
        <v>801</v>
      </c>
      <c r="K176" s="10">
        <v>1</v>
      </c>
      <c r="L176" s="5"/>
    </row>
    <row r="177" spans="1:12" hidden="1">
      <c r="A177" s="4"/>
      <c r="B177" s="4" t="s">
        <v>802</v>
      </c>
      <c r="C177" s="10" t="s">
        <v>92</v>
      </c>
      <c r="D177" s="10" t="s">
        <v>353</v>
      </c>
      <c r="E177" s="4"/>
      <c r="F177" s="10" t="s">
        <v>803</v>
      </c>
      <c r="G177" s="19"/>
      <c r="H177" s="19"/>
      <c r="I177" s="20">
        <f t="shared" si="3"/>
        <v>0</v>
      </c>
      <c r="J177" s="10" t="s">
        <v>640</v>
      </c>
      <c r="K177" s="10">
        <v>1</v>
      </c>
      <c r="L177" s="5"/>
    </row>
    <row r="178" spans="1:12" hidden="1">
      <c r="A178" s="4"/>
      <c r="B178" s="4" t="s">
        <v>804</v>
      </c>
      <c r="C178" s="10" t="s">
        <v>92</v>
      </c>
      <c r="D178" s="10" t="s">
        <v>353</v>
      </c>
      <c r="E178" s="4"/>
      <c r="F178" s="10" t="s">
        <v>805</v>
      </c>
      <c r="G178" s="19"/>
      <c r="H178" s="19"/>
      <c r="I178" s="20">
        <f t="shared" si="3"/>
        <v>0</v>
      </c>
      <c r="J178" s="10" t="s">
        <v>593</v>
      </c>
      <c r="K178" s="10" t="s">
        <v>593</v>
      </c>
      <c r="L178" s="5"/>
    </row>
    <row r="179" spans="1:12" hidden="1">
      <c r="A179" s="4"/>
      <c r="B179" s="4" t="s">
        <v>806</v>
      </c>
      <c r="C179" s="10" t="s">
        <v>92</v>
      </c>
      <c r="D179" s="10" t="s">
        <v>362</v>
      </c>
      <c r="E179" s="4"/>
      <c r="F179" s="10" t="s">
        <v>807</v>
      </c>
      <c r="G179" s="19"/>
      <c r="H179" s="19"/>
      <c r="I179" s="20">
        <f t="shared" si="3"/>
        <v>0</v>
      </c>
      <c r="J179" s="10" t="s">
        <v>640</v>
      </c>
      <c r="K179" s="10">
        <v>1</v>
      </c>
      <c r="L179" s="5"/>
    </row>
    <row r="180" spans="1:12" hidden="1">
      <c r="A180" s="4"/>
      <c r="B180" s="4" t="s">
        <v>808</v>
      </c>
      <c r="C180" s="10" t="s">
        <v>92</v>
      </c>
      <c r="D180" s="10" t="s">
        <v>708</v>
      </c>
      <c r="E180" s="4"/>
      <c r="F180" s="10" t="s">
        <v>809</v>
      </c>
      <c r="G180" s="19"/>
      <c r="H180" s="19"/>
      <c r="I180" s="20">
        <f t="shared" si="3"/>
        <v>0</v>
      </c>
      <c r="J180" s="10" t="s">
        <v>640</v>
      </c>
      <c r="K180" s="10">
        <v>1</v>
      </c>
      <c r="L180" s="5"/>
    </row>
    <row r="181" spans="1:12" hidden="1">
      <c r="A181" s="4"/>
      <c r="B181" s="4" t="s">
        <v>810</v>
      </c>
      <c r="C181" s="10" t="s">
        <v>92</v>
      </c>
      <c r="D181" s="10" t="s">
        <v>339</v>
      </c>
      <c r="E181" s="4"/>
      <c r="F181" s="10" t="s">
        <v>811</v>
      </c>
      <c r="G181" s="19"/>
      <c r="H181" s="19"/>
      <c r="I181" s="20">
        <f t="shared" si="3"/>
        <v>0</v>
      </c>
      <c r="J181" s="10" t="s">
        <v>640</v>
      </c>
      <c r="K181" s="10">
        <v>1</v>
      </c>
      <c r="L181" s="5"/>
    </row>
    <row r="182" spans="1:12" hidden="1">
      <c r="A182" s="4"/>
      <c r="B182" s="4" t="s">
        <v>812</v>
      </c>
      <c r="C182" s="10" t="s">
        <v>92</v>
      </c>
      <c r="D182" s="10" t="s">
        <v>436</v>
      </c>
      <c r="E182" s="4"/>
      <c r="F182" s="10" t="s">
        <v>813</v>
      </c>
      <c r="G182" s="19"/>
      <c r="H182" s="19"/>
      <c r="I182" s="20">
        <f t="shared" si="3"/>
        <v>0</v>
      </c>
      <c r="J182" s="10" t="s">
        <v>593</v>
      </c>
      <c r="K182" s="10" t="s">
        <v>593</v>
      </c>
      <c r="L182" s="5"/>
    </row>
    <row r="183" spans="1:12" hidden="1">
      <c r="A183" s="4"/>
      <c r="B183" s="4" t="s">
        <v>814</v>
      </c>
      <c r="C183" s="10" t="s">
        <v>92</v>
      </c>
      <c r="D183" s="10" t="s">
        <v>262</v>
      </c>
      <c r="E183" s="4"/>
      <c r="F183" s="26" t="s">
        <v>263</v>
      </c>
      <c r="G183" s="19"/>
      <c r="H183" s="19"/>
      <c r="I183" s="20">
        <f t="shared" si="3"/>
        <v>0</v>
      </c>
      <c r="J183" s="10" t="s">
        <v>815</v>
      </c>
      <c r="K183" s="10">
        <v>100</v>
      </c>
      <c r="L183" s="5"/>
    </row>
    <row r="184" spans="1:12" hidden="1">
      <c r="A184" s="4"/>
      <c r="B184" s="4" t="s">
        <v>816</v>
      </c>
      <c r="C184" s="10" t="s">
        <v>92</v>
      </c>
      <c r="D184" s="10" t="s">
        <v>393</v>
      </c>
      <c r="E184" s="4"/>
      <c r="F184" s="10" t="s">
        <v>410</v>
      </c>
      <c r="G184" s="19"/>
      <c r="H184" s="19"/>
      <c r="I184" s="20">
        <f t="shared" si="3"/>
        <v>0</v>
      </c>
      <c r="J184" s="10" t="s">
        <v>640</v>
      </c>
      <c r="K184" s="10">
        <v>1</v>
      </c>
      <c r="L184" s="5"/>
    </row>
    <row r="185" spans="1:12" hidden="1">
      <c r="A185" s="4"/>
      <c r="B185" s="4" t="s">
        <v>817</v>
      </c>
      <c r="C185" s="10" t="s">
        <v>92</v>
      </c>
      <c r="D185" s="10" t="s">
        <v>362</v>
      </c>
      <c r="E185" s="4"/>
      <c r="F185" s="10" t="s">
        <v>818</v>
      </c>
      <c r="G185" s="19"/>
      <c r="H185" s="19"/>
      <c r="I185" s="20">
        <f t="shared" si="3"/>
        <v>0</v>
      </c>
      <c r="J185" s="10" t="s">
        <v>640</v>
      </c>
      <c r="K185" s="10">
        <v>1</v>
      </c>
      <c r="L185" s="5"/>
    </row>
    <row r="186" spans="1:12" hidden="1">
      <c r="A186" s="4"/>
      <c r="B186" s="4" t="s">
        <v>819</v>
      </c>
      <c r="C186" s="10" t="s">
        <v>92</v>
      </c>
      <c r="D186" s="10" t="s">
        <v>98</v>
      </c>
      <c r="E186" s="4"/>
      <c r="F186" s="10" t="s">
        <v>99</v>
      </c>
      <c r="G186" s="19"/>
      <c r="H186" s="10"/>
      <c r="I186" s="20">
        <f t="shared" si="3"/>
        <v>0</v>
      </c>
      <c r="J186" s="10" t="s">
        <v>593</v>
      </c>
      <c r="K186" s="10" t="s">
        <v>593</v>
      </c>
      <c r="L186" s="4"/>
    </row>
    <row r="187" spans="1:12" hidden="1">
      <c r="A187" s="4"/>
      <c r="B187" s="4" t="s">
        <v>820</v>
      </c>
      <c r="C187" s="10" t="s">
        <v>92</v>
      </c>
      <c r="D187" s="10" t="s">
        <v>108</v>
      </c>
      <c r="E187" s="4"/>
      <c r="F187" s="10" t="s">
        <v>113</v>
      </c>
      <c r="G187" s="19"/>
      <c r="H187" s="10"/>
      <c r="I187" s="20">
        <f t="shared" si="3"/>
        <v>0</v>
      </c>
      <c r="J187" s="10" t="s">
        <v>640</v>
      </c>
      <c r="K187" s="10">
        <v>1</v>
      </c>
      <c r="L187" s="4"/>
    </row>
    <row r="188" spans="1:12" hidden="1">
      <c r="A188" s="4"/>
      <c r="B188" s="4" t="s">
        <v>821</v>
      </c>
      <c r="C188" s="10" t="s">
        <v>92</v>
      </c>
      <c r="D188" s="10" t="s">
        <v>275</v>
      </c>
      <c r="E188" s="4"/>
      <c r="F188" s="26" t="s">
        <v>276</v>
      </c>
      <c r="G188" s="19"/>
      <c r="H188" s="10"/>
      <c r="I188" s="20">
        <f t="shared" si="3"/>
        <v>0</v>
      </c>
      <c r="J188" s="10" t="s">
        <v>640</v>
      </c>
      <c r="K188" s="10">
        <v>1</v>
      </c>
      <c r="L188" s="4"/>
    </row>
    <row r="189" spans="1:12" hidden="1">
      <c r="A189" s="4"/>
      <c r="B189" s="4" t="s">
        <v>822</v>
      </c>
      <c r="C189" s="10" t="s">
        <v>92</v>
      </c>
      <c r="D189" s="10" t="s">
        <v>708</v>
      </c>
      <c r="E189" s="4"/>
      <c r="F189" s="10" t="s">
        <v>823</v>
      </c>
      <c r="G189" s="19"/>
      <c r="H189" s="10"/>
      <c r="I189" s="20">
        <f t="shared" si="3"/>
        <v>0</v>
      </c>
      <c r="J189" s="10" t="s">
        <v>815</v>
      </c>
      <c r="K189" s="10">
        <v>100</v>
      </c>
      <c r="L189" s="4"/>
    </row>
    <row r="190" spans="1:12" hidden="1">
      <c r="A190" s="4"/>
      <c r="B190" s="4" t="s">
        <v>824</v>
      </c>
      <c r="C190" s="10" t="s">
        <v>92</v>
      </c>
      <c r="D190" s="10" t="s">
        <v>362</v>
      </c>
      <c r="E190" s="4"/>
      <c r="F190" s="10" t="s">
        <v>825</v>
      </c>
      <c r="G190" s="19"/>
      <c r="H190" s="10"/>
      <c r="I190" s="20">
        <f t="shared" si="3"/>
        <v>0</v>
      </c>
      <c r="J190" s="10" t="s">
        <v>640</v>
      </c>
      <c r="K190" s="10">
        <v>1</v>
      </c>
      <c r="L190" s="4"/>
    </row>
    <row r="191" spans="1:12" hidden="1">
      <c r="A191" s="4"/>
      <c r="B191" s="4" t="s">
        <v>826</v>
      </c>
      <c r="C191" s="10" t="s">
        <v>92</v>
      </c>
      <c r="D191" s="10" t="s">
        <v>108</v>
      </c>
      <c r="E191" s="4"/>
      <c r="F191" s="10" t="s">
        <v>109</v>
      </c>
      <c r="G191" s="19"/>
      <c r="H191" s="10"/>
      <c r="I191" s="20">
        <f t="shared" si="3"/>
        <v>0</v>
      </c>
      <c r="J191" s="10" t="s">
        <v>640</v>
      </c>
      <c r="K191" s="10">
        <v>1</v>
      </c>
      <c r="L191" s="4"/>
    </row>
    <row r="192" spans="1:12" hidden="1">
      <c r="A192" s="4"/>
      <c r="B192" s="4" t="s">
        <v>827</v>
      </c>
      <c r="C192" s="10" t="s">
        <v>92</v>
      </c>
      <c r="D192" s="10" t="s">
        <v>262</v>
      </c>
      <c r="E192" s="4"/>
      <c r="F192" s="26" t="s">
        <v>828</v>
      </c>
      <c r="G192" s="19"/>
      <c r="H192" s="10"/>
      <c r="I192" s="20">
        <f t="shared" si="3"/>
        <v>0</v>
      </c>
      <c r="J192" s="10" t="s">
        <v>815</v>
      </c>
      <c r="K192" s="10">
        <v>100</v>
      </c>
      <c r="L192" s="4"/>
    </row>
    <row r="193" spans="1:12" hidden="1">
      <c r="A193" s="4"/>
      <c r="B193" s="4" t="s">
        <v>829</v>
      </c>
      <c r="C193" s="10" t="s">
        <v>92</v>
      </c>
      <c r="D193" s="10" t="s">
        <v>248</v>
      </c>
      <c r="E193" s="4"/>
      <c r="F193" s="10" t="s">
        <v>249</v>
      </c>
      <c r="G193" s="19"/>
      <c r="H193" s="10"/>
      <c r="I193" s="20">
        <f t="shared" si="3"/>
        <v>0</v>
      </c>
      <c r="J193" s="10" t="s">
        <v>798</v>
      </c>
      <c r="K193" s="10">
        <v>1</v>
      </c>
      <c r="L193" s="4"/>
    </row>
    <row r="194" spans="1:12" hidden="1">
      <c r="A194" s="4"/>
      <c r="B194" s="4" t="s">
        <v>830</v>
      </c>
      <c r="C194" s="10" t="s">
        <v>92</v>
      </c>
      <c r="D194" s="10" t="s">
        <v>831</v>
      </c>
      <c r="E194" s="4"/>
      <c r="F194" s="10" t="s">
        <v>832</v>
      </c>
      <c r="G194" s="19"/>
      <c r="H194" s="10"/>
      <c r="I194" s="20">
        <f t="shared" si="3"/>
        <v>0</v>
      </c>
      <c r="J194" s="10" t="s">
        <v>593</v>
      </c>
      <c r="K194" s="10" t="s">
        <v>593</v>
      </c>
      <c r="L194" s="4"/>
    </row>
    <row r="195" spans="1:12" hidden="1">
      <c r="A195" s="4"/>
      <c r="B195" s="4" t="s">
        <v>833</v>
      </c>
      <c r="C195" s="10" t="s">
        <v>92</v>
      </c>
      <c r="D195" s="10" t="s">
        <v>323</v>
      </c>
      <c r="E195" s="4"/>
      <c r="F195" s="10" t="s">
        <v>834</v>
      </c>
      <c r="G195" s="19"/>
      <c r="H195" s="10"/>
      <c r="I195" s="20">
        <f t="shared" si="3"/>
        <v>0</v>
      </c>
      <c r="J195" s="10" t="s">
        <v>586</v>
      </c>
      <c r="K195" s="10">
        <v>1</v>
      </c>
      <c r="L195" s="4"/>
    </row>
    <row r="196" spans="1:12" hidden="1">
      <c r="A196" s="4"/>
      <c r="B196" s="4" t="s">
        <v>835</v>
      </c>
      <c r="C196" s="10" t="s">
        <v>92</v>
      </c>
      <c r="D196" s="10" t="s">
        <v>393</v>
      </c>
      <c r="E196" s="4"/>
      <c r="F196" s="10" t="s">
        <v>395</v>
      </c>
      <c r="G196" s="19"/>
      <c r="H196" s="10"/>
      <c r="I196" s="20">
        <f t="shared" si="3"/>
        <v>0</v>
      </c>
      <c r="J196" s="10" t="s">
        <v>640</v>
      </c>
      <c r="K196" s="10">
        <v>1</v>
      </c>
      <c r="L196" s="4"/>
    </row>
    <row r="197" spans="1:12" hidden="1">
      <c r="A197" s="4"/>
      <c r="B197" s="4" t="s">
        <v>836</v>
      </c>
      <c r="C197" s="10" t="s">
        <v>92</v>
      </c>
      <c r="D197" s="26" t="s">
        <v>751</v>
      </c>
      <c r="E197" s="4"/>
      <c r="F197" s="10" t="s">
        <v>837</v>
      </c>
      <c r="G197" s="19"/>
      <c r="H197" s="10"/>
      <c r="I197" s="20">
        <f t="shared" si="3"/>
        <v>0</v>
      </c>
      <c r="J197" s="10" t="s">
        <v>593</v>
      </c>
      <c r="K197" s="10" t="s">
        <v>593</v>
      </c>
      <c r="L197" s="4"/>
    </row>
    <row r="198" spans="1:12" hidden="1">
      <c r="A198" s="4"/>
      <c r="B198" s="4" t="s">
        <v>838</v>
      </c>
      <c r="C198" s="10" t="s">
        <v>92</v>
      </c>
      <c r="D198" s="10" t="s">
        <v>839</v>
      </c>
      <c r="E198" s="4"/>
      <c r="F198" s="10" t="s">
        <v>840</v>
      </c>
      <c r="G198" s="19"/>
      <c r="H198" s="10"/>
      <c r="I198" s="20">
        <f t="shared" si="3"/>
        <v>0</v>
      </c>
      <c r="J198" s="10" t="s">
        <v>640</v>
      </c>
      <c r="K198" s="10">
        <v>1</v>
      </c>
      <c r="L198" s="4"/>
    </row>
    <row r="199" spans="1:12" hidden="1">
      <c r="A199" s="4"/>
      <c r="B199" s="4" t="s">
        <v>841</v>
      </c>
      <c r="C199" s="10" t="s">
        <v>92</v>
      </c>
      <c r="D199" s="10" t="s">
        <v>248</v>
      </c>
      <c r="E199" s="4"/>
      <c r="F199" s="10" t="s">
        <v>842</v>
      </c>
      <c r="G199" s="19"/>
      <c r="H199" s="10"/>
      <c r="I199" s="20">
        <f t="shared" si="3"/>
        <v>0</v>
      </c>
      <c r="J199" s="10" t="s">
        <v>593</v>
      </c>
      <c r="K199" s="10" t="s">
        <v>593</v>
      </c>
      <c r="L199" s="4"/>
    </row>
    <row r="200" spans="1:12" hidden="1">
      <c r="A200" s="4"/>
      <c r="B200" s="4" t="s">
        <v>843</v>
      </c>
      <c r="C200" s="10" t="s">
        <v>92</v>
      </c>
      <c r="D200" s="10" t="s">
        <v>339</v>
      </c>
      <c r="E200" s="4"/>
      <c r="F200" s="10" t="s">
        <v>344</v>
      </c>
      <c r="G200" s="19"/>
      <c r="H200" s="10"/>
      <c r="I200" s="20">
        <f t="shared" si="3"/>
        <v>0</v>
      </c>
      <c r="J200" s="10" t="s">
        <v>640</v>
      </c>
      <c r="K200" s="10">
        <v>1</v>
      </c>
      <c r="L200" s="4"/>
    </row>
    <row r="201" spans="1:12" hidden="1">
      <c r="A201" s="4"/>
      <c r="B201" s="4" t="s">
        <v>844</v>
      </c>
      <c r="C201" s="10" t="s">
        <v>92</v>
      </c>
      <c r="D201" s="10" t="s">
        <v>845</v>
      </c>
      <c r="E201" s="4"/>
      <c r="F201" s="10" t="s">
        <v>846</v>
      </c>
      <c r="G201" s="19"/>
      <c r="H201" s="10"/>
      <c r="I201" s="20">
        <f t="shared" si="3"/>
        <v>0</v>
      </c>
      <c r="J201" s="10" t="s">
        <v>593</v>
      </c>
      <c r="K201" s="10" t="s">
        <v>593</v>
      </c>
      <c r="L201" s="4"/>
    </row>
    <row r="202" spans="1:12" hidden="1">
      <c r="A202" s="4"/>
      <c r="B202" s="4" t="s">
        <v>847</v>
      </c>
      <c r="C202" s="10" t="s">
        <v>92</v>
      </c>
      <c r="D202" s="10" t="s">
        <v>262</v>
      </c>
      <c r="E202" s="4"/>
      <c r="F202" s="26" t="s">
        <v>848</v>
      </c>
      <c r="G202" s="19"/>
      <c r="H202" s="10"/>
      <c r="I202" s="20">
        <f t="shared" si="3"/>
        <v>0</v>
      </c>
      <c r="J202" s="10" t="s">
        <v>586</v>
      </c>
      <c r="K202" s="10">
        <v>1</v>
      </c>
      <c r="L202" s="4"/>
    </row>
    <row r="203" spans="1:12" hidden="1">
      <c r="A203" s="4"/>
      <c r="B203" s="4" t="s">
        <v>849</v>
      </c>
      <c r="C203" s="10" t="s">
        <v>92</v>
      </c>
      <c r="D203" s="10" t="s">
        <v>262</v>
      </c>
      <c r="E203" s="4"/>
      <c r="F203" s="26" t="s">
        <v>271</v>
      </c>
      <c r="G203" s="19"/>
      <c r="H203" s="10"/>
      <c r="I203" s="20">
        <f t="shared" si="3"/>
        <v>0</v>
      </c>
      <c r="J203" s="10" t="s">
        <v>640</v>
      </c>
      <c r="K203" s="10">
        <v>1</v>
      </c>
      <c r="L203" s="4"/>
    </row>
    <row r="204" spans="1:12" hidden="1">
      <c r="A204" s="4"/>
      <c r="B204" s="4" t="s">
        <v>850</v>
      </c>
      <c r="C204" s="10" t="s">
        <v>92</v>
      </c>
      <c r="D204" s="10" t="s">
        <v>98</v>
      </c>
      <c r="E204" s="4"/>
      <c r="F204" s="10" t="s">
        <v>292</v>
      </c>
      <c r="G204" s="19"/>
      <c r="H204" s="10"/>
      <c r="I204" s="20">
        <f t="shared" ref="I204:I267" si="4">G204+H204</f>
        <v>0</v>
      </c>
      <c r="J204" s="10" t="s">
        <v>640</v>
      </c>
      <c r="K204" s="10">
        <v>1</v>
      </c>
      <c r="L204" s="4"/>
    </row>
    <row r="205" spans="1:12" hidden="1">
      <c r="A205" s="4"/>
      <c r="B205" s="4" t="s">
        <v>851</v>
      </c>
      <c r="C205" s="10" t="s">
        <v>92</v>
      </c>
      <c r="D205" s="10" t="s">
        <v>262</v>
      </c>
      <c r="E205" s="4"/>
      <c r="F205" s="26" t="s">
        <v>852</v>
      </c>
      <c r="G205" s="19"/>
      <c r="H205" s="10"/>
      <c r="I205" s="20">
        <f t="shared" si="4"/>
        <v>0</v>
      </c>
      <c r="J205" s="10" t="s">
        <v>815</v>
      </c>
      <c r="K205" s="10">
        <v>100</v>
      </c>
      <c r="L205" s="4"/>
    </row>
    <row r="206" spans="1:12" hidden="1">
      <c r="A206" s="4"/>
      <c r="B206" s="4" t="s">
        <v>853</v>
      </c>
      <c r="C206" s="10" t="s">
        <v>92</v>
      </c>
      <c r="D206" s="10" t="s">
        <v>854</v>
      </c>
      <c r="E206" s="4"/>
      <c r="F206" s="26" t="s">
        <v>855</v>
      </c>
      <c r="G206" s="19"/>
      <c r="H206" s="10"/>
      <c r="I206" s="20">
        <f t="shared" si="4"/>
        <v>0</v>
      </c>
      <c r="J206" s="10" t="s">
        <v>640</v>
      </c>
      <c r="K206" s="10">
        <v>1</v>
      </c>
      <c r="L206" s="4"/>
    </row>
    <row r="207" spans="1:12" hidden="1">
      <c r="A207" s="4"/>
      <c r="B207" s="4" t="s">
        <v>856</v>
      </c>
      <c r="C207" s="10" t="s">
        <v>92</v>
      </c>
      <c r="D207" s="10" t="s">
        <v>117</v>
      </c>
      <c r="E207" s="4"/>
      <c r="F207" s="10" t="s">
        <v>857</v>
      </c>
      <c r="G207" s="19"/>
      <c r="H207" s="10"/>
      <c r="I207" s="20">
        <f t="shared" si="4"/>
        <v>0</v>
      </c>
      <c r="J207" s="10" t="s">
        <v>640</v>
      </c>
      <c r="K207" s="10">
        <v>1</v>
      </c>
      <c r="L207" s="4"/>
    </row>
    <row r="208" spans="1:12" hidden="1">
      <c r="A208" s="4"/>
      <c r="B208" s="4" t="s">
        <v>858</v>
      </c>
      <c r="C208" s="10" t="s">
        <v>92</v>
      </c>
      <c r="D208" s="10" t="s">
        <v>708</v>
      </c>
      <c r="E208" s="4"/>
      <c r="F208" s="10" t="s">
        <v>859</v>
      </c>
      <c r="G208" s="19"/>
      <c r="H208" s="10"/>
      <c r="I208" s="20">
        <f t="shared" si="4"/>
        <v>0</v>
      </c>
      <c r="J208" s="10" t="s">
        <v>815</v>
      </c>
      <c r="K208" s="10">
        <v>100</v>
      </c>
      <c r="L208" s="4"/>
    </row>
    <row r="209" spans="1:12" hidden="1">
      <c r="A209" s="4"/>
      <c r="B209" s="4" t="s">
        <v>860</v>
      </c>
      <c r="C209" s="10" t="s">
        <v>92</v>
      </c>
      <c r="D209" s="10" t="s">
        <v>339</v>
      </c>
      <c r="E209" s="4"/>
      <c r="F209" s="10" t="s">
        <v>340</v>
      </c>
      <c r="G209" s="19"/>
      <c r="H209" s="10"/>
      <c r="I209" s="20">
        <f t="shared" si="4"/>
        <v>0</v>
      </c>
      <c r="J209" s="10" t="s">
        <v>640</v>
      </c>
      <c r="K209" s="10">
        <v>1</v>
      </c>
      <c r="L209" s="4"/>
    </row>
    <row r="210" spans="1:12" hidden="1">
      <c r="A210" s="4"/>
      <c r="B210" s="4" t="s">
        <v>861</v>
      </c>
      <c r="C210" s="10" t="s">
        <v>92</v>
      </c>
      <c r="D210" s="10" t="s">
        <v>362</v>
      </c>
      <c r="E210" s="4"/>
      <c r="F210" s="10" t="s">
        <v>862</v>
      </c>
      <c r="G210" s="19"/>
      <c r="H210" s="10"/>
      <c r="I210" s="20">
        <f t="shared" si="4"/>
        <v>0</v>
      </c>
      <c r="J210" s="10" t="s">
        <v>640</v>
      </c>
      <c r="K210" s="10">
        <v>1</v>
      </c>
      <c r="L210" s="4"/>
    </row>
    <row r="211" spans="1:12" hidden="1">
      <c r="A211" s="4"/>
      <c r="B211" s="4" t="s">
        <v>863</v>
      </c>
      <c r="C211" s="10" t="s">
        <v>92</v>
      </c>
      <c r="D211" s="10" t="s">
        <v>383</v>
      </c>
      <c r="E211" s="4"/>
      <c r="F211" s="10" t="s">
        <v>864</v>
      </c>
      <c r="G211" s="19"/>
      <c r="H211" s="10"/>
      <c r="I211" s="20">
        <f t="shared" si="4"/>
        <v>0</v>
      </c>
      <c r="J211" s="10" t="s">
        <v>593</v>
      </c>
      <c r="K211" s="10" t="s">
        <v>593</v>
      </c>
      <c r="L211" s="4"/>
    </row>
    <row r="212" spans="1:12" hidden="1">
      <c r="A212" s="4"/>
      <c r="B212" s="4" t="s">
        <v>865</v>
      </c>
      <c r="C212" s="10" t="s">
        <v>92</v>
      </c>
      <c r="D212" s="10" t="s">
        <v>450</v>
      </c>
      <c r="E212" s="4"/>
      <c r="F212" s="10" t="s">
        <v>459</v>
      </c>
      <c r="G212" s="19"/>
      <c r="H212" s="10"/>
      <c r="I212" s="20">
        <f t="shared" si="4"/>
        <v>0</v>
      </c>
      <c r="J212" s="10" t="s">
        <v>798</v>
      </c>
      <c r="K212" s="10">
        <v>1</v>
      </c>
      <c r="L212" s="4"/>
    </row>
    <row r="213" spans="1:12" hidden="1">
      <c r="A213" s="4"/>
      <c r="B213" s="4" t="s">
        <v>866</v>
      </c>
      <c r="C213" s="10" t="s">
        <v>92</v>
      </c>
      <c r="D213" s="10" t="s">
        <v>450</v>
      </c>
      <c r="E213" s="4"/>
      <c r="F213" s="10" t="s">
        <v>451</v>
      </c>
      <c r="G213" s="19"/>
      <c r="H213" s="10"/>
      <c r="I213" s="20">
        <f t="shared" si="4"/>
        <v>0</v>
      </c>
      <c r="J213" s="10" t="s">
        <v>798</v>
      </c>
      <c r="K213" s="10">
        <v>1</v>
      </c>
      <c r="L213" s="4"/>
    </row>
    <row r="214" spans="1:12" hidden="1">
      <c r="A214" s="4"/>
      <c r="B214" s="4" t="s">
        <v>867</v>
      </c>
      <c r="C214" s="10" t="s">
        <v>92</v>
      </c>
      <c r="D214" s="10" t="s">
        <v>845</v>
      </c>
      <c r="E214" s="4"/>
      <c r="F214" s="10" t="s">
        <v>868</v>
      </c>
      <c r="G214" s="19"/>
      <c r="H214" s="10"/>
      <c r="I214" s="20">
        <f t="shared" si="4"/>
        <v>0</v>
      </c>
      <c r="J214" s="10" t="s">
        <v>640</v>
      </c>
      <c r="K214" s="10">
        <v>1</v>
      </c>
      <c r="L214" s="4"/>
    </row>
    <row r="215" spans="1:12" hidden="1">
      <c r="A215" s="4"/>
      <c r="B215" s="4" t="s">
        <v>869</v>
      </c>
      <c r="C215" s="10" t="s">
        <v>92</v>
      </c>
      <c r="D215" s="10" t="s">
        <v>329</v>
      </c>
      <c r="E215" s="4"/>
      <c r="F215" s="10" t="s">
        <v>330</v>
      </c>
      <c r="G215" s="19"/>
      <c r="H215" s="10"/>
      <c r="I215" s="20">
        <f t="shared" si="4"/>
        <v>0</v>
      </c>
      <c r="J215" s="10" t="s">
        <v>640</v>
      </c>
      <c r="K215" s="10">
        <v>1</v>
      </c>
      <c r="L215" s="4"/>
    </row>
    <row r="216" spans="1:12" hidden="1">
      <c r="A216" s="4"/>
      <c r="B216" s="4" t="s">
        <v>870</v>
      </c>
      <c r="C216" s="10" t="s">
        <v>92</v>
      </c>
      <c r="D216" s="10" t="s">
        <v>257</v>
      </c>
      <c r="E216" s="4"/>
      <c r="F216" s="26" t="s">
        <v>258</v>
      </c>
      <c r="G216" s="19"/>
      <c r="H216" s="10"/>
      <c r="I216" s="20">
        <f t="shared" si="4"/>
        <v>0</v>
      </c>
      <c r="J216" s="10" t="s">
        <v>640</v>
      </c>
      <c r="K216" s="10">
        <v>1</v>
      </c>
      <c r="L216" s="4"/>
    </row>
    <row r="217" spans="1:12" hidden="1">
      <c r="A217" s="4"/>
      <c r="B217" s="42" t="s">
        <v>583</v>
      </c>
      <c r="C217" s="10" t="s">
        <v>122</v>
      </c>
      <c r="D217" s="10" t="s">
        <v>793</v>
      </c>
      <c r="E217" s="4"/>
      <c r="F217" s="10" t="s">
        <v>469</v>
      </c>
      <c r="G217" s="10"/>
      <c r="H217" s="10"/>
      <c r="I217" s="20">
        <f t="shared" si="4"/>
        <v>0</v>
      </c>
      <c r="J217" s="10" t="s">
        <v>586</v>
      </c>
      <c r="K217" s="10">
        <v>1</v>
      </c>
      <c r="L217" s="4"/>
    </row>
    <row r="218" spans="1:12" hidden="1">
      <c r="A218" s="4"/>
      <c r="B218" s="4" t="s">
        <v>871</v>
      </c>
      <c r="C218" s="10" t="s">
        <v>92</v>
      </c>
      <c r="D218" s="10" t="s">
        <v>393</v>
      </c>
      <c r="E218" s="4"/>
      <c r="F218" s="10" t="s">
        <v>872</v>
      </c>
      <c r="G218" s="19"/>
      <c r="H218" s="10"/>
      <c r="I218" s="20">
        <f t="shared" si="4"/>
        <v>0</v>
      </c>
      <c r="J218" s="10" t="s">
        <v>640</v>
      </c>
      <c r="K218" s="10">
        <v>1</v>
      </c>
      <c r="L218" s="4"/>
    </row>
    <row r="219" spans="1:12" hidden="1">
      <c r="A219" s="4"/>
      <c r="B219" s="4" t="s">
        <v>873</v>
      </c>
      <c r="C219" s="10" t="s">
        <v>92</v>
      </c>
      <c r="D219" s="10" t="s">
        <v>874</v>
      </c>
      <c r="E219" s="4"/>
      <c r="F219" s="10" t="s">
        <v>875</v>
      </c>
      <c r="G219" s="19"/>
      <c r="H219" s="10"/>
      <c r="I219" s="20">
        <f t="shared" si="4"/>
        <v>0</v>
      </c>
      <c r="J219" s="10" t="s">
        <v>640</v>
      </c>
      <c r="K219" s="10">
        <v>1</v>
      </c>
      <c r="L219" s="4"/>
    </row>
    <row r="220" spans="1:12" hidden="1">
      <c r="A220" s="4"/>
      <c r="B220" s="4" t="s">
        <v>876</v>
      </c>
      <c r="C220" s="10" t="s">
        <v>92</v>
      </c>
      <c r="D220" s="10" t="s">
        <v>383</v>
      </c>
      <c r="E220" s="4"/>
      <c r="F220" s="10" t="s">
        <v>877</v>
      </c>
      <c r="G220" s="19"/>
      <c r="H220" s="10"/>
      <c r="I220" s="20">
        <f t="shared" si="4"/>
        <v>0</v>
      </c>
      <c r="J220" s="10" t="s">
        <v>640</v>
      </c>
      <c r="K220" s="10">
        <v>1</v>
      </c>
      <c r="L220" s="4"/>
    </row>
    <row r="221" spans="1:12" hidden="1">
      <c r="A221" s="4"/>
      <c r="B221" s="4" t="s">
        <v>878</v>
      </c>
      <c r="C221" s="10" t="s">
        <v>92</v>
      </c>
      <c r="D221" s="10" t="s">
        <v>708</v>
      </c>
      <c r="E221" s="4"/>
      <c r="F221" s="10" t="s">
        <v>879</v>
      </c>
      <c r="G221" s="19"/>
      <c r="H221" s="10"/>
      <c r="I221" s="20">
        <f t="shared" si="4"/>
        <v>0</v>
      </c>
      <c r="J221" s="10" t="s">
        <v>640</v>
      </c>
      <c r="K221" s="10">
        <v>1</v>
      </c>
      <c r="L221" s="4"/>
    </row>
    <row r="222" spans="1:12" hidden="1">
      <c r="A222" s="4"/>
      <c r="B222" s="4" t="s">
        <v>880</v>
      </c>
      <c r="C222" s="10" t="s">
        <v>92</v>
      </c>
      <c r="D222" s="10" t="s">
        <v>334</v>
      </c>
      <c r="E222" s="4"/>
      <c r="F222" s="10" t="s">
        <v>335</v>
      </c>
      <c r="G222" s="19"/>
      <c r="H222" s="10"/>
      <c r="I222" s="20">
        <f t="shared" si="4"/>
        <v>0</v>
      </c>
      <c r="J222" s="10" t="s">
        <v>640</v>
      </c>
      <c r="K222" s="10">
        <v>1</v>
      </c>
      <c r="L222" s="4"/>
    </row>
    <row r="223" spans="1:12" hidden="1">
      <c r="A223" s="4"/>
      <c r="B223" s="4" t="s">
        <v>881</v>
      </c>
      <c r="C223" s="10" t="s">
        <v>92</v>
      </c>
      <c r="D223" s="10" t="s">
        <v>117</v>
      </c>
      <c r="E223" s="4"/>
      <c r="F223" s="10" t="s">
        <v>882</v>
      </c>
      <c r="G223" s="19"/>
      <c r="H223" s="10"/>
      <c r="I223" s="20">
        <f t="shared" si="4"/>
        <v>0</v>
      </c>
      <c r="J223" s="10" t="s">
        <v>640</v>
      </c>
      <c r="K223" s="10">
        <v>1</v>
      </c>
      <c r="L223" s="4"/>
    </row>
    <row r="224" spans="1:12" hidden="1">
      <c r="A224" s="4"/>
      <c r="B224" s="42" t="s">
        <v>583</v>
      </c>
      <c r="C224" s="10" t="s">
        <v>122</v>
      </c>
      <c r="D224" s="10" t="s">
        <v>883</v>
      </c>
      <c r="E224" s="4"/>
      <c r="F224" s="10" t="s">
        <v>884</v>
      </c>
      <c r="G224" s="10"/>
      <c r="H224" s="10"/>
      <c r="I224" s="20">
        <f t="shared" si="4"/>
        <v>0</v>
      </c>
      <c r="J224" s="10" t="s">
        <v>586</v>
      </c>
      <c r="K224" s="10">
        <v>1</v>
      </c>
      <c r="L224" s="4"/>
    </row>
    <row r="225" spans="1:12" hidden="1">
      <c r="A225" s="4"/>
      <c r="B225" s="4" t="s">
        <v>885</v>
      </c>
      <c r="C225" s="10" t="s">
        <v>92</v>
      </c>
      <c r="D225" s="10" t="s">
        <v>262</v>
      </c>
      <c r="E225" s="4"/>
      <c r="F225" s="26" t="s">
        <v>886</v>
      </c>
      <c r="G225" s="19"/>
      <c r="H225" s="10"/>
      <c r="I225" s="20">
        <f t="shared" si="4"/>
        <v>0</v>
      </c>
      <c r="J225" s="10" t="s">
        <v>640</v>
      </c>
      <c r="K225" s="10">
        <v>1</v>
      </c>
      <c r="L225" s="4"/>
    </row>
    <row r="226" spans="1:12" hidden="1">
      <c r="A226" s="4"/>
      <c r="B226" s="4" t="s">
        <v>887</v>
      </c>
      <c r="C226" s="10" t="s">
        <v>92</v>
      </c>
      <c r="D226" s="10" t="s">
        <v>93</v>
      </c>
      <c r="E226" s="4"/>
      <c r="F226" s="10" t="s">
        <v>888</v>
      </c>
      <c r="G226" s="19"/>
      <c r="H226" s="10"/>
      <c r="I226" s="20">
        <f t="shared" si="4"/>
        <v>0</v>
      </c>
      <c r="J226" s="10" t="s">
        <v>586</v>
      </c>
      <c r="K226" s="10">
        <v>1</v>
      </c>
      <c r="L226" s="4"/>
    </row>
    <row r="227" spans="1:12" hidden="1">
      <c r="A227" s="4"/>
      <c r="B227" s="4" t="s">
        <v>889</v>
      </c>
      <c r="C227" s="10" t="s">
        <v>92</v>
      </c>
      <c r="D227" s="10" t="s">
        <v>348</v>
      </c>
      <c r="E227" s="4"/>
      <c r="F227" s="10" t="s">
        <v>890</v>
      </c>
      <c r="G227" s="19"/>
      <c r="H227" s="10"/>
      <c r="I227" s="20">
        <f t="shared" si="4"/>
        <v>0</v>
      </c>
      <c r="J227" s="10" t="s">
        <v>798</v>
      </c>
      <c r="K227" s="10">
        <v>1</v>
      </c>
      <c r="L227" s="4"/>
    </row>
    <row r="228" spans="1:12" hidden="1">
      <c r="A228" s="4"/>
      <c r="B228" s="4" t="s">
        <v>891</v>
      </c>
      <c r="C228" s="10" t="s">
        <v>92</v>
      </c>
      <c r="D228" s="10" t="s">
        <v>393</v>
      </c>
      <c r="E228" s="4"/>
      <c r="F228" s="10" t="s">
        <v>892</v>
      </c>
      <c r="G228" s="19"/>
      <c r="H228" s="10"/>
      <c r="I228" s="20">
        <f t="shared" si="4"/>
        <v>0</v>
      </c>
      <c r="J228" s="10" t="s">
        <v>640</v>
      </c>
      <c r="K228" s="10">
        <v>1</v>
      </c>
      <c r="L228" s="4"/>
    </row>
    <row r="229" spans="1:12" hidden="1">
      <c r="A229" s="4"/>
      <c r="B229" s="4" t="s">
        <v>893</v>
      </c>
      <c r="C229" s="10" t="s">
        <v>92</v>
      </c>
      <c r="D229" s="10" t="s">
        <v>248</v>
      </c>
      <c r="E229" s="4"/>
      <c r="F229" s="10" t="s">
        <v>253</v>
      </c>
      <c r="G229" s="19"/>
      <c r="H229" s="10"/>
      <c r="I229" s="20">
        <f t="shared" si="4"/>
        <v>0</v>
      </c>
      <c r="J229" s="10" t="s">
        <v>798</v>
      </c>
      <c r="K229" s="10">
        <v>1</v>
      </c>
      <c r="L229" s="4"/>
    </row>
    <row r="230" spans="1:12" hidden="1">
      <c r="A230" s="4"/>
      <c r="B230" s="4" t="s">
        <v>894</v>
      </c>
      <c r="C230" s="10" t="s">
        <v>92</v>
      </c>
      <c r="D230" s="10" t="s">
        <v>895</v>
      </c>
      <c r="E230" s="4"/>
      <c r="F230" s="26" t="s">
        <v>896</v>
      </c>
      <c r="G230" s="19"/>
      <c r="H230" s="10"/>
      <c r="I230" s="20">
        <f t="shared" si="4"/>
        <v>0</v>
      </c>
      <c r="J230" s="10" t="s">
        <v>640</v>
      </c>
      <c r="K230" s="10">
        <v>1</v>
      </c>
      <c r="L230" s="4"/>
    </row>
    <row r="231" spans="1:12" hidden="1">
      <c r="A231" s="4"/>
      <c r="B231" s="4" t="s">
        <v>897</v>
      </c>
      <c r="C231" s="10" t="s">
        <v>92</v>
      </c>
      <c r="D231" s="10" t="s">
        <v>898</v>
      </c>
      <c r="E231" s="4"/>
      <c r="F231" s="10" t="s">
        <v>899</v>
      </c>
      <c r="G231" s="19"/>
      <c r="H231" s="10"/>
      <c r="I231" s="20">
        <f t="shared" si="4"/>
        <v>0</v>
      </c>
      <c r="J231" s="10" t="s">
        <v>798</v>
      </c>
      <c r="K231" s="10">
        <v>1</v>
      </c>
      <c r="L231" s="4"/>
    </row>
    <row r="232" spans="1:12" hidden="1">
      <c r="A232" s="4"/>
      <c r="B232" s="4" t="s">
        <v>900</v>
      </c>
      <c r="C232" s="10" t="s">
        <v>92</v>
      </c>
      <c r="D232" s="10" t="s">
        <v>854</v>
      </c>
      <c r="E232" s="4"/>
      <c r="F232" s="26" t="s">
        <v>901</v>
      </c>
      <c r="G232" s="19"/>
      <c r="H232" s="10"/>
      <c r="I232" s="20">
        <f t="shared" si="4"/>
        <v>0</v>
      </c>
      <c r="J232" s="10" t="s">
        <v>640</v>
      </c>
      <c r="K232" s="10">
        <v>1</v>
      </c>
      <c r="L232" s="4"/>
    </row>
    <row r="233" spans="1:12" hidden="1">
      <c r="A233" s="4"/>
      <c r="B233" s="4" t="s">
        <v>902</v>
      </c>
      <c r="C233" s="10" t="s">
        <v>92</v>
      </c>
      <c r="D233" s="10" t="s">
        <v>262</v>
      </c>
      <c r="E233" s="4"/>
      <c r="F233" s="26" t="s">
        <v>267</v>
      </c>
      <c r="G233" s="19"/>
      <c r="H233" s="10"/>
      <c r="I233" s="20">
        <f t="shared" si="4"/>
        <v>0</v>
      </c>
      <c r="J233" s="10" t="s">
        <v>640</v>
      </c>
      <c r="K233" s="10">
        <v>1</v>
      </c>
      <c r="L233" s="4"/>
    </row>
    <row r="234" spans="1:12" hidden="1">
      <c r="A234" s="4"/>
      <c r="B234" s="4" t="s">
        <v>903</v>
      </c>
      <c r="C234" s="10" t="s">
        <v>92</v>
      </c>
      <c r="D234" s="10" t="s">
        <v>257</v>
      </c>
      <c r="E234" s="4"/>
      <c r="F234" s="26" t="s">
        <v>904</v>
      </c>
      <c r="G234" s="19"/>
      <c r="H234" s="10"/>
      <c r="I234" s="20">
        <f t="shared" si="4"/>
        <v>0</v>
      </c>
      <c r="J234" s="10" t="s">
        <v>640</v>
      </c>
      <c r="K234" s="10">
        <v>1</v>
      </c>
      <c r="L234" s="4"/>
    </row>
    <row r="235" spans="1:12" hidden="1">
      <c r="A235" s="4"/>
      <c r="B235" s="4" t="s">
        <v>905</v>
      </c>
      <c r="C235" s="10" t="s">
        <v>92</v>
      </c>
      <c r="D235" s="10" t="s">
        <v>323</v>
      </c>
      <c r="E235" s="4"/>
      <c r="F235" s="10" t="s">
        <v>906</v>
      </c>
      <c r="G235" s="19"/>
      <c r="H235" s="10"/>
      <c r="I235" s="20">
        <f t="shared" si="4"/>
        <v>0</v>
      </c>
      <c r="J235" s="10" t="s">
        <v>640</v>
      </c>
      <c r="K235" s="10">
        <v>1</v>
      </c>
      <c r="L235" s="4"/>
    </row>
    <row r="236" spans="1:12" hidden="1">
      <c r="A236" s="4"/>
      <c r="B236" s="4" t="s">
        <v>907</v>
      </c>
      <c r="C236" s="10" t="s">
        <v>92</v>
      </c>
      <c r="D236" s="10" t="s">
        <v>348</v>
      </c>
      <c r="E236" s="4"/>
      <c r="F236" s="10" t="s">
        <v>349</v>
      </c>
      <c r="G236" s="19"/>
      <c r="H236" s="10"/>
      <c r="I236" s="20">
        <f t="shared" si="4"/>
        <v>0</v>
      </c>
      <c r="J236" s="10" t="s">
        <v>798</v>
      </c>
      <c r="K236" s="10">
        <v>1</v>
      </c>
      <c r="L236" s="4"/>
    </row>
    <row r="237" spans="1:12" hidden="1">
      <c r="A237" s="4"/>
      <c r="B237" s="4" t="s">
        <v>908</v>
      </c>
      <c r="C237" s="10" t="s">
        <v>92</v>
      </c>
      <c r="D237" s="10" t="s">
        <v>323</v>
      </c>
      <c r="E237" s="4"/>
      <c r="F237" s="10" t="s">
        <v>909</v>
      </c>
      <c r="G237" s="19"/>
      <c r="H237" s="10"/>
      <c r="I237" s="20">
        <f t="shared" si="4"/>
        <v>0</v>
      </c>
      <c r="J237" s="10" t="s">
        <v>640</v>
      </c>
      <c r="K237" s="10">
        <v>1</v>
      </c>
      <c r="L237" s="4"/>
    </row>
    <row r="238" spans="1:12" hidden="1">
      <c r="A238" s="4"/>
      <c r="B238" s="42" t="s">
        <v>583</v>
      </c>
      <c r="C238" s="10" t="s">
        <v>122</v>
      </c>
      <c r="D238" s="10" t="s">
        <v>473</v>
      </c>
      <c r="E238" s="4"/>
      <c r="F238" s="10" t="s">
        <v>474</v>
      </c>
      <c r="G238" s="10"/>
      <c r="H238" s="10"/>
      <c r="I238" s="20">
        <f t="shared" si="4"/>
        <v>0</v>
      </c>
      <c r="J238" s="10" t="s">
        <v>586</v>
      </c>
      <c r="K238" s="10">
        <v>1</v>
      </c>
      <c r="L238" s="4"/>
    </row>
    <row r="239" spans="1:12" hidden="1">
      <c r="A239" s="4"/>
      <c r="B239" s="4" t="s">
        <v>910</v>
      </c>
      <c r="C239" s="10" t="s">
        <v>92</v>
      </c>
      <c r="D239" s="10" t="s">
        <v>348</v>
      </c>
      <c r="E239" s="4"/>
      <c r="F239" s="10" t="s">
        <v>911</v>
      </c>
      <c r="G239" s="19"/>
      <c r="H239" s="10"/>
      <c r="I239" s="20">
        <f t="shared" si="4"/>
        <v>0</v>
      </c>
      <c r="J239" s="10" t="s">
        <v>798</v>
      </c>
      <c r="K239" s="10">
        <v>1</v>
      </c>
      <c r="L239" s="4"/>
    </row>
    <row r="240" spans="1:12" hidden="1">
      <c r="A240" s="4"/>
      <c r="B240" s="4" t="s">
        <v>912</v>
      </c>
      <c r="C240" s="10" t="s">
        <v>92</v>
      </c>
      <c r="D240" s="10" t="s">
        <v>450</v>
      </c>
      <c r="E240" s="4"/>
      <c r="F240" s="10" t="s">
        <v>455</v>
      </c>
      <c r="G240" s="19"/>
      <c r="H240" s="10"/>
      <c r="I240" s="20">
        <f t="shared" si="4"/>
        <v>0</v>
      </c>
      <c r="J240" s="10" t="s">
        <v>798</v>
      </c>
      <c r="K240" s="10">
        <v>1</v>
      </c>
      <c r="L240" s="4"/>
    </row>
    <row r="241" spans="1:12" hidden="1">
      <c r="A241" s="4"/>
      <c r="B241" s="4" t="s">
        <v>913</v>
      </c>
      <c r="C241" s="10" t="s">
        <v>92</v>
      </c>
      <c r="D241" s="10" t="s">
        <v>697</v>
      </c>
      <c r="E241" s="4"/>
      <c r="F241" s="10" t="s">
        <v>914</v>
      </c>
      <c r="G241" s="19"/>
      <c r="H241" s="10"/>
      <c r="I241" s="20">
        <f t="shared" si="4"/>
        <v>0</v>
      </c>
      <c r="J241" s="10" t="s">
        <v>640</v>
      </c>
      <c r="K241" s="10">
        <v>1</v>
      </c>
      <c r="L241" s="4"/>
    </row>
    <row r="242" spans="1:12" hidden="1">
      <c r="A242" s="4"/>
      <c r="B242" s="4" t="s">
        <v>915</v>
      </c>
      <c r="C242" s="10" t="s">
        <v>92</v>
      </c>
      <c r="D242" s="10" t="s">
        <v>436</v>
      </c>
      <c r="E242" s="4"/>
      <c r="F242" s="10" t="s">
        <v>437</v>
      </c>
      <c r="G242" s="19"/>
      <c r="H242" s="10"/>
      <c r="I242" s="20">
        <f t="shared" si="4"/>
        <v>0</v>
      </c>
      <c r="J242" s="10" t="s">
        <v>640</v>
      </c>
      <c r="K242" s="10">
        <v>1</v>
      </c>
      <c r="L242" s="4"/>
    </row>
    <row r="243" spans="1:12" hidden="1">
      <c r="A243" s="4"/>
      <c r="B243" s="4" t="s">
        <v>916</v>
      </c>
      <c r="C243" s="10" t="s">
        <v>92</v>
      </c>
      <c r="D243" s="10" t="s">
        <v>117</v>
      </c>
      <c r="E243" s="4"/>
      <c r="F243" s="10" t="s">
        <v>917</v>
      </c>
      <c r="G243" s="19"/>
      <c r="H243" s="10"/>
      <c r="I243" s="20">
        <f t="shared" si="4"/>
        <v>0</v>
      </c>
      <c r="J243" s="10" t="s">
        <v>640</v>
      </c>
      <c r="K243" s="10">
        <v>1</v>
      </c>
      <c r="L243" s="4"/>
    </row>
    <row r="244" spans="1:12" hidden="1">
      <c r="A244" s="4"/>
      <c r="B244" s="4" t="s">
        <v>918</v>
      </c>
      <c r="C244" s="10" t="s">
        <v>92</v>
      </c>
      <c r="D244" s="10" t="s">
        <v>323</v>
      </c>
      <c r="E244" s="4"/>
      <c r="F244" s="10" t="s">
        <v>919</v>
      </c>
      <c r="G244" s="19"/>
      <c r="H244" s="10"/>
      <c r="I244" s="20">
        <f t="shared" si="4"/>
        <v>0</v>
      </c>
      <c r="J244" s="10" t="s">
        <v>640</v>
      </c>
      <c r="K244" s="10">
        <v>1</v>
      </c>
      <c r="L244" s="4"/>
    </row>
    <row r="245" spans="1:12" hidden="1">
      <c r="A245" s="4"/>
      <c r="B245" s="4" t="s">
        <v>920</v>
      </c>
      <c r="C245" s="10" t="s">
        <v>92</v>
      </c>
      <c r="D245" s="10" t="s">
        <v>436</v>
      </c>
      <c r="E245" s="4"/>
      <c r="F245" s="10" t="s">
        <v>921</v>
      </c>
      <c r="G245" s="19"/>
      <c r="H245" s="10"/>
      <c r="I245" s="20">
        <f t="shared" si="4"/>
        <v>0</v>
      </c>
      <c r="J245" s="10" t="s">
        <v>640</v>
      </c>
      <c r="K245" s="10">
        <v>1</v>
      </c>
      <c r="L245" s="4"/>
    </row>
    <row r="246" spans="1:12" hidden="1">
      <c r="A246" s="4"/>
      <c r="B246" s="4" t="s">
        <v>922</v>
      </c>
      <c r="C246" s="10" t="s">
        <v>92</v>
      </c>
      <c r="D246" s="10" t="s">
        <v>93</v>
      </c>
      <c r="E246" s="4"/>
      <c r="F246" s="10" t="s">
        <v>923</v>
      </c>
      <c r="G246" s="19"/>
      <c r="H246" s="10"/>
      <c r="I246" s="20">
        <f t="shared" si="4"/>
        <v>0</v>
      </c>
      <c r="J246" s="10" t="s">
        <v>798</v>
      </c>
      <c r="K246" s="10">
        <v>1</v>
      </c>
      <c r="L246" s="4"/>
    </row>
    <row r="247" spans="1:12" hidden="1">
      <c r="A247" s="4"/>
      <c r="B247" s="4" t="s">
        <v>924</v>
      </c>
      <c r="C247" s="10" t="s">
        <v>92</v>
      </c>
      <c r="D247" s="10" t="s">
        <v>925</v>
      </c>
      <c r="F247" s="10" t="s">
        <v>926</v>
      </c>
      <c r="G247" s="19"/>
      <c r="H247" s="10"/>
      <c r="I247" s="20">
        <f t="shared" si="4"/>
        <v>0</v>
      </c>
      <c r="J247" s="10" t="s">
        <v>640</v>
      </c>
      <c r="K247" s="10">
        <v>1</v>
      </c>
      <c r="L247" s="4"/>
    </row>
    <row r="248" spans="1:12" hidden="1">
      <c r="A248" s="4"/>
      <c r="B248" s="4" t="s">
        <v>927</v>
      </c>
      <c r="C248" s="10" t="s">
        <v>92</v>
      </c>
      <c r="D248" s="32" t="s">
        <v>93</v>
      </c>
      <c r="E248" s="4"/>
      <c r="F248" s="10" t="s">
        <v>928</v>
      </c>
      <c r="G248" s="19"/>
      <c r="H248" s="10"/>
      <c r="I248" s="20">
        <f t="shared" si="4"/>
        <v>0</v>
      </c>
      <c r="J248" s="10" t="s">
        <v>593</v>
      </c>
      <c r="K248" s="10" t="s">
        <v>593</v>
      </c>
      <c r="L248" s="4"/>
    </row>
    <row r="249" spans="1:12" hidden="1">
      <c r="A249" s="4"/>
      <c r="B249" s="4" t="s">
        <v>929</v>
      </c>
      <c r="C249" s="10" t="s">
        <v>92</v>
      </c>
      <c r="D249" s="10" t="s">
        <v>393</v>
      </c>
      <c r="E249" s="4"/>
      <c r="F249" s="10" t="s">
        <v>405</v>
      </c>
      <c r="G249" s="19"/>
      <c r="H249" s="10"/>
      <c r="I249" s="20">
        <f t="shared" si="4"/>
        <v>0</v>
      </c>
      <c r="J249" s="10" t="s">
        <v>640</v>
      </c>
      <c r="K249" s="10">
        <v>1</v>
      </c>
      <c r="L249" s="4"/>
    </row>
    <row r="250" spans="1:12" hidden="1">
      <c r="A250" s="4"/>
      <c r="B250" s="4" t="s">
        <v>930</v>
      </c>
      <c r="C250" s="10" t="s">
        <v>92</v>
      </c>
      <c r="D250" s="10" t="s">
        <v>931</v>
      </c>
      <c r="E250" s="4"/>
      <c r="F250" s="10" t="s">
        <v>932</v>
      </c>
      <c r="G250" s="19"/>
      <c r="H250" s="10"/>
      <c r="I250" s="20">
        <f t="shared" si="4"/>
        <v>0</v>
      </c>
      <c r="J250" s="10" t="s">
        <v>640</v>
      </c>
      <c r="K250" s="10">
        <v>1</v>
      </c>
      <c r="L250" s="4"/>
    </row>
    <row r="251" spans="1:12" hidden="1">
      <c r="A251" s="4"/>
      <c r="B251" s="4" t="s">
        <v>933</v>
      </c>
      <c r="C251" s="10" t="s">
        <v>92</v>
      </c>
      <c r="D251" s="10" t="s">
        <v>257</v>
      </c>
      <c r="E251" s="4"/>
      <c r="F251" s="26" t="s">
        <v>934</v>
      </c>
      <c r="G251" s="19"/>
      <c r="H251" s="10"/>
      <c r="I251" s="20">
        <f t="shared" si="4"/>
        <v>0</v>
      </c>
      <c r="J251" s="10" t="s">
        <v>640</v>
      </c>
      <c r="K251" s="10">
        <v>1</v>
      </c>
      <c r="L251" s="4"/>
    </row>
    <row r="252" spans="1:12" hidden="1">
      <c r="A252" s="4"/>
      <c r="B252" s="4" t="s">
        <v>935</v>
      </c>
      <c r="C252" s="10" t="s">
        <v>92</v>
      </c>
      <c r="D252" s="10" t="s">
        <v>98</v>
      </c>
      <c r="E252" s="4"/>
      <c r="F252" s="10" t="s">
        <v>288</v>
      </c>
      <c r="G252" s="19"/>
      <c r="H252" s="10"/>
      <c r="I252" s="20">
        <f t="shared" si="4"/>
        <v>0</v>
      </c>
      <c r="J252" s="10" t="s">
        <v>801</v>
      </c>
      <c r="K252" s="10">
        <v>1</v>
      </c>
      <c r="L252" s="4"/>
    </row>
    <row r="253" spans="1:12" hidden="1">
      <c r="A253" s="4"/>
      <c r="B253" s="4" t="s">
        <v>936</v>
      </c>
      <c r="C253" s="10" t="s">
        <v>92</v>
      </c>
      <c r="D253" s="10" t="s">
        <v>937</v>
      </c>
      <c r="E253" s="4"/>
      <c r="F253" s="10" t="s">
        <v>938</v>
      </c>
      <c r="G253" s="19"/>
      <c r="H253" s="10"/>
      <c r="I253" s="20">
        <f t="shared" si="4"/>
        <v>0</v>
      </c>
      <c r="J253" s="10" t="s">
        <v>640</v>
      </c>
      <c r="K253" s="10">
        <v>1</v>
      </c>
      <c r="L253" s="4"/>
    </row>
    <row r="254" spans="1:12" hidden="1">
      <c r="A254" s="4"/>
      <c r="B254" s="4" t="s">
        <v>939</v>
      </c>
      <c r="C254" s="10" t="s">
        <v>92</v>
      </c>
      <c r="D254" s="10" t="s">
        <v>257</v>
      </c>
      <c r="E254" s="4"/>
      <c r="F254" s="26" t="s">
        <v>940</v>
      </c>
      <c r="G254" s="19"/>
      <c r="H254" s="10"/>
      <c r="I254" s="20">
        <f t="shared" si="4"/>
        <v>0</v>
      </c>
      <c r="J254" s="10" t="s">
        <v>640</v>
      </c>
      <c r="K254" s="10">
        <v>1</v>
      </c>
      <c r="L254" s="4"/>
    </row>
    <row r="255" spans="1:12" hidden="1">
      <c r="A255" s="4"/>
      <c r="B255" s="4" t="s">
        <v>941</v>
      </c>
      <c r="C255" s="10" t="s">
        <v>92</v>
      </c>
      <c r="D255" s="10" t="s">
        <v>383</v>
      </c>
      <c r="E255" s="4"/>
      <c r="F255" s="10" t="s">
        <v>942</v>
      </c>
      <c r="G255" s="19"/>
      <c r="H255" s="10"/>
      <c r="I255" s="20">
        <f t="shared" si="4"/>
        <v>0</v>
      </c>
      <c r="J255" s="10" t="s">
        <v>593</v>
      </c>
      <c r="K255" s="10" t="s">
        <v>593</v>
      </c>
      <c r="L255" s="4"/>
    </row>
    <row r="256" spans="1:12" hidden="1">
      <c r="A256" s="4"/>
      <c r="B256" s="4" t="s">
        <v>943</v>
      </c>
      <c r="C256" s="10" t="s">
        <v>92</v>
      </c>
      <c r="D256" s="10" t="s">
        <v>393</v>
      </c>
      <c r="E256" s="4"/>
      <c r="F256" s="10" t="s">
        <v>944</v>
      </c>
      <c r="G256" s="19"/>
      <c r="H256" s="10"/>
      <c r="I256" s="20">
        <f t="shared" si="4"/>
        <v>0</v>
      </c>
      <c r="J256" s="10" t="s">
        <v>640</v>
      </c>
      <c r="K256" s="10">
        <v>1</v>
      </c>
      <c r="L256" s="4"/>
    </row>
    <row r="257" spans="1:12" hidden="1">
      <c r="A257" s="4"/>
      <c r="B257" s="4" t="s">
        <v>945</v>
      </c>
      <c r="C257" s="10" t="s">
        <v>92</v>
      </c>
      <c r="D257" s="26" t="s">
        <v>946</v>
      </c>
      <c r="E257" s="4"/>
      <c r="F257" s="10" t="s">
        <v>947</v>
      </c>
      <c r="G257" s="19"/>
      <c r="H257" s="10"/>
      <c r="I257" s="20">
        <f t="shared" si="4"/>
        <v>0</v>
      </c>
      <c r="J257" s="10" t="s">
        <v>640</v>
      </c>
      <c r="K257" s="10">
        <v>1</v>
      </c>
      <c r="L257" s="4"/>
    </row>
    <row r="258" spans="1:12" hidden="1">
      <c r="A258" s="4"/>
      <c r="B258" s="4" t="s">
        <v>948</v>
      </c>
      <c r="C258" s="10" t="s">
        <v>92</v>
      </c>
      <c r="D258" s="10" t="s">
        <v>362</v>
      </c>
      <c r="E258" s="4"/>
      <c r="F258" s="10" t="s">
        <v>949</v>
      </c>
      <c r="G258" s="19"/>
      <c r="H258" s="10"/>
      <c r="I258" s="20">
        <f t="shared" si="4"/>
        <v>0</v>
      </c>
      <c r="J258" s="10" t="s">
        <v>640</v>
      </c>
      <c r="K258" s="10">
        <v>1</v>
      </c>
      <c r="L258" s="4"/>
    </row>
    <row r="259" spans="1:12" hidden="1">
      <c r="A259" s="4"/>
      <c r="B259" s="42" t="s">
        <v>583</v>
      </c>
      <c r="C259" s="10" t="s">
        <v>122</v>
      </c>
      <c r="D259" s="10" t="s">
        <v>478</v>
      </c>
      <c r="E259" s="4"/>
      <c r="F259" s="12" t="s">
        <v>479</v>
      </c>
      <c r="G259" s="10"/>
      <c r="H259" s="10"/>
      <c r="I259" s="20">
        <f t="shared" si="4"/>
        <v>0</v>
      </c>
      <c r="J259" s="10" t="s">
        <v>586</v>
      </c>
      <c r="K259" s="10">
        <v>1</v>
      </c>
      <c r="L259" s="4"/>
    </row>
    <row r="260" spans="1:12" hidden="1">
      <c r="A260" s="4"/>
      <c r="B260" s="4" t="s">
        <v>950</v>
      </c>
      <c r="C260" s="10" t="s">
        <v>92</v>
      </c>
      <c r="D260" s="26" t="s">
        <v>951</v>
      </c>
      <c r="E260" s="4"/>
      <c r="F260" s="10" t="s">
        <v>952</v>
      </c>
      <c r="G260" s="19"/>
      <c r="H260" s="10"/>
      <c r="I260" s="20">
        <f t="shared" si="4"/>
        <v>0</v>
      </c>
      <c r="J260" s="10" t="s">
        <v>640</v>
      </c>
      <c r="K260" s="10">
        <v>1</v>
      </c>
      <c r="L260" s="4"/>
    </row>
    <row r="261" spans="1:12" hidden="1">
      <c r="A261" s="4"/>
      <c r="B261" s="4" t="s">
        <v>953</v>
      </c>
      <c r="C261" s="10" t="s">
        <v>92</v>
      </c>
      <c r="D261" s="10" t="s">
        <v>954</v>
      </c>
      <c r="E261" s="4"/>
      <c r="F261" s="10" t="s">
        <v>955</v>
      </c>
      <c r="G261" s="19"/>
      <c r="H261" s="10"/>
      <c r="I261" s="20">
        <f t="shared" si="4"/>
        <v>0</v>
      </c>
      <c r="J261" s="10" t="s">
        <v>640</v>
      </c>
      <c r="K261" s="10">
        <v>1</v>
      </c>
      <c r="L261" s="4"/>
    </row>
    <row r="262" spans="1:12" hidden="1">
      <c r="A262" s="4"/>
      <c r="B262" s="4" t="s">
        <v>956</v>
      </c>
      <c r="C262" s="10" t="s">
        <v>92</v>
      </c>
      <c r="D262" s="10" t="s">
        <v>296</v>
      </c>
      <c r="E262" s="4"/>
      <c r="F262" s="10" t="s">
        <v>957</v>
      </c>
      <c r="G262" s="40"/>
      <c r="H262" s="10"/>
      <c r="I262" s="20">
        <f t="shared" si="4"/>
        <v>0</v>
      </c>
      <c r="J262" s="10" t="s">
        <v>640</v>
      </c>
      <c r="K262" s="10">
        <v>1</v>
      </c>
      <c r="L262" s="4"/>
    </row>
    <row r="263" spans="1:12" hidden="1">
      <c r="A263" s="4"/>
      <c r="B263" s="4" t="s">
        <v>958</v>
      </c>
      <c r="C263" s="10" t="s">
        <v>92</v>
      </c>
      <c r="D263" s="10" t="s">
        <v>959</v>
      </c>
      <c r="E263" s="4"/>
      <c r="F263" s="10" t="s">
        <v>960</v>
      </c>
      <c r="G263" s="19"/>
      <c r="H263" s="10"/>
      <c r="I263" s="20">
        <f t="shared" si="4"/>
        <v>0</v>
      </c>
      <c r="J263" s="10" t="s">
        <v>593</v>
      </c>
      <c r="K263" s="10" t="s">
        <v>593</v>
      </c>
      <c r="L263" s="4"/>
    </row>
    <row r="264" spans="1:12" hidden="1">
      <c r="A264" s="4"/>
      <c r="B264" s="4" t="s">
        <v>961</v>
      </c>
      <c r="C264" s="10" t="s">
        <v>92</v>
      </c>
      <c r="D264" s="10" t="s">
        <v>393</v>
      </c>
      <c r="E264" s="4"/>
      <c r="F264" s="10" t="s">
        <v>400</v>
      </c>
      <c r="G264" s="19"/>
      <c r="H264" s="10"/>
      <c r="I264" s="20">
        <f t="shared" si="4"/>
        <v>0</v>
      </c>
      <c r="J264" s="10" t="s">
        <v>640</v>
      </c>
      <c r="K264" s="10">
        <v>1</v>
      </c>
      <c r="L264" s="4"/>
    </row>
    <row r="265" spans="1:12" hidden="1">
      <c r="A265" s="4"/>
      <c r="B265" s="4" t="s">
        <v>962</v>
      </c>
      <c r="C265" s="10" t="s">
        <v>92</v>
      </c>
      <c r="D265" s="10" t="s">
        <v>257</v>
      </c>
      <c r="E265" s="4"/>
      <c r="F265" s="26" t="s">
        <v>963</v>
      </c>
      <c r="G265" s="19"/>
      <c r="H265" s="10"/>
      <c r="I265" s="20">
        <f t="shared" si="4"/>
        <v>0</v>
      </c>
      <c r="J265" s="10" t="s">
        <v>640</v>
      </c>
      <c r="K265" s="10">
        <v>1</v>
      </c>
      <c r="L265" s="4"/>
    </row>
    <row r="266" spans="1:12" hidden="1">
      <c r="A266" s="4"/>
      <c r="B266" s="4" t="s">
        <v>964</v>
      </c>
      <c r="C266" s="10" t="s">
        <v>92</v>
      </c>
      <c r="D266" s="10" t="s">
        <v>262</v>
      </c>
      <c r="E266" s="4"/>
      <c r="F266" s="26" t="s">
        <v>965</v>
      </c>
      <c r="G266" s="19"/>
      <c r="H266" s="10"/>
      <c r="I266" s="20">
        <f t="shared" si="4"/>
        <v>0</v>
      </c>
      <c r="J266" s="10" t="s">
        <v>640</v>
      </c>
      <c r="K266" s="10">
        <v>1</v>
      </c>
      <c r="L266" s="4"/>
    </row>
    <row r="267" spans="1:12" hidden="1">
      <c r="A267" s="4"/>
      <c r="B267" s="4" t="s">
        <v>966</v>
      </c>
      <c r="C267" s="10" t="s">
        <v>92</v>
      </c>
      <c r="D267" s="10" t="s">
        <v>831</v>
      </c>
      <c r="E267" s="4"/>
      <c r="F267" s="10" t="s">
        <v>967</v>
      </c>
      <c r="G267" s="19"/>
      <c r="H267" s="10"/>
      <c r="I267" s="20">
        <f t="shared" si="4"/>
        <v>0</v>
      </c>
      <c r="J267" s="10" t="s">
        <v>593</v>
      </c>
      <c r="K267" s="10" t="s">
        <v>593</v>
      </c>
      <c r="L267" s="4"/>
    </row>
    <row r="268" spans="1:12" hidden="1">
      <c r="A268" s="4"/>
      <c r="B268" s="4" t="s">
        <v>968</v>
      </c>
      <c r="C268" s="10" t="s">
        <v>92</v>
      </c>
      <c r="D268" s="10" t="s">
        <v>362</v>
      </c>
      <c r="E268" s="4"/>
      <c r="F268" s="10" t="s">
        <v>969</v>
      </c>
      <c r="G268" s="19"/>
      <c r="H268" s="10"/>
      <c r="I268" s="20">
        <f t="shared" ref="I268:I331" si="5">G268+H268</f>
        <v>0</v>
      </c>
      <c r="J268" s="10" t="s">
        <v>640</v>
      </c>
      <c r="K268" s="10">
        <v>1</v>
      </c>
      <c r="L268" s="4"/>
    </row>
    <row r="269" spans="1:12" hidden="1">
      <c r="A269" s="4"/>
      <c r="B269" s="4" t="s">
        <v>970</v>
      </c>
      <c r="C269" s="10" t="s">
        <v>92</v>
      </c>
      <c r="D269" s="10" t="s">
        <v>971</v>
      </c>
      <c r="E269" s="4"/>
      <c r="F269" s="10" t="s">
        <v>972</v>
      </c>
      <c r="G269" s="19"/>
      <c r="H269" s="10"/>
      <c r="I269" s="20">
        <f t="shared" si="5"/>
        <v>0</v>
      </c>
      <c r="J269" s="10" t="s">
        <v>798</v>
      </c>
      <c r="K269" s="10">
        <v>1</v>
      </c>
      <c r="L269" s="4"/>
    </row>
    <row r="270" spans="1:12" hidden="1">
      <c r="A270" s="4"/>
      <c r="B270" s="4" t="s">
        <v>973</v>
      </c>
      <c r="C270" s="10" t="s">
        <v>92</v>
      </c>
      <c r="D270" s="10" t="s">
        <v>974</v>
      </c>
      <c r="E270" s="4"/>
      <c r="F270" s="10" t="s">
        <v>975</v>
      </c>
      <c r="G270" s="19"/>
      <c r="H270" s="10"/>
      <c r="I270" s="20">
        <f t="shared" si="5"/>
        <v>0</v>
      </c>
      <c r="J270" s="10" t="s">
        <v>593</v>
      </c>
      <c r="K270" s="10" t="s">
        <v>593</v>
      </c>
      <c r="L270" s="4"/>
    </row>
    <row r="271" spans="1:12" hidden="1">
      <c r="A271" s="4"/>
      <c r="B271" s="4" t="s">
        <v>976</v>
      </c>
      <c r="C271" s="29" t="s">
        <v>92</v>
      </c>
      <c r="D271" s="29" t="s">
        <v>296</v>
      </c>
      <c r="E271" s="28"/>
      <c r="F271" s="11" t="s">
        <v>977</v>
      </c>
      <c r="G271" s="39"/>
      <c r="H271" s="29"/>
      <c r="I271" s="20">
        <f t="shared" si="5"/>
        <v>0</v>
      </c>
      <c r="J271" s="10" t="s">
        <v>640</v>
      </c>
      <c r="K271" s="10">
        <v>1</v>
      </c>
      <c r="L271" s="28"/>
    </row>
    <row r="272" spans="1:12" hidden="1">
      <c r="A272" s="4"/>
      <c r="B272" s="4" t="s">
        <v>978</v>
      </c>
      <c r="C272" s="10" t="s">
        <v>92</v>
      </c>
      <c r="D272" s="10" t="s">
        <v>296</v>
      </c>
      <c r="E272" s="4"/>
      <c r="F272" s="10" t="s">
        <v>979</v>
      </c>
      <c r="G272" s="19"/>
      <c r="H272" s="10"/>
      <c r="I272" s="20">
        <f t="shared" si="5"/>
        <v>0</v>
      </c>
      <c r="J272" s="10" t="s">
        <v>640</v>
      </c>
      <c r="K272" s="10">
        <v>1</v>
      </c>
      <c r="L272" s="4"/>
    </row>
    <row r="273" spans="1:12" hidden="1">
      <c r="A273" s="4"/>
      <c r="B273" s="4" t="s">
        <v>980</v>
      </c>
      <c r="C273" s="10" t="s">
        <v>92</v>
      </c>
      <c r="D273" s="10" t="s">
        <v>450</v>
      </c>
      <c r="E273" s="4"/>
      <c r="F273" s="10" t="s">
        <v>981</v>
      </c>
      <c r="G273" s="19"/>
      <c r="H273" s="10"/>
      <c r="I273" s="20">
        <f t="shared" si="5"/>
        <v>0</v>
      </c>
      <c r="J273" s="10" t="s">
        <v>593</v>
      </c>
      <c r="K273" s="10" t="s">
        <v>593</v>
      </c>
      <c r="L273" s="4"/>
    </row>
    <row r="274" spans="1:12" hidden="1">
      <c r="A274" s="4"/>
      <c r="B274" s="4" t="s">
        <v>982</v>
      </c>
      <c r="C274" s="10" t="s">
        <v>92</v>
      </c>
      <c r="D274" s="10" t="s">
        <v>362</v>
      </c>
      <c r="E274" s="4"/>
      <c r="F274" s="10" t="s">
        <v>983</v>
      </c>
      <c r="G274" s="19"/>
      <c r="H274" s="10"/>
      <c r="I274" s="20">
        <f t="shared" si="5"/>
        <v>0</v>
      </c>
      <c r="J274" s="10" t="s">
        <v>640</v>
      </c>
      <c r="K274" s="10">
        <v>1</v>
      </c>
      <c r="L274" s="4"/>
    </row>
    <row r="275" spans="1:12" hidden="1">
      <c r="A275" s="4"/>
      <c r="B275" s="4" t="s">
        <v>984</v>
      </c>
      <c r="C275" s="10" t="s">
        <v>92</v>
      </c>
      <c r="D275" s="10" t="s">
        <v>103</v>
      </c>
      <c r="E275" s="4"/>
      <c r="F275" s="10" t="s">
        <v>104</v>
      </c>
      <c r="G275" s="19"/>
      <c r="H275" s="10"/>
      <c r="I275" s="20">
        <f t="shared" si="5"/>
        <v>0</v>
      </c>
      <c r="J275" s="10" t="s">
        <v>593</v>
      </c>
      <c r="K275" s="10" t="s">
        <v>593</v>
      </c>
      <c r="L275" s="4"/>
    </row>
    <row r="276" spans="1:12" hidden="1">
      <c r="A276" s="4"/>
      <c r="B276" s="4" t="s">
        <v>985</v>
      </c>
      <c r="C276" s="10" t="s">
        <v>92</v>
      </c>
      <c r="D276" s="10" t="s">
        <v>93</v>
      </c>
      <c r="E276" s="4"/>
      <c r="F276" s="10" t="s">
        <v>986</v>
      </c>
      <c r="G276" s="19"/>
      <c r="H276" s="10"/>
      <c r="I276" s="20">
        <f t="shared" si="5"/>
        <v>0</v>
      </c>
      <c r="J276" s="10" t="s">
        <v>593</v>
      </c>
      <c r="K276" s="10" t="s">
        <v>593</v>
      </c>
      <c r="L276" s="4"/>
    </row>
    <row r="277" spans="1:12" hidden="1">
      <c r="A277" s="4"/>
      <c r="B277" s="4" t="s">
        <v>987</v>
      </c>
      <c r="C277" s="10" t="s">
        <v>92</v>
      </c>
      <c r="D277" s="10" t="s">
        <v>317</v>
      </c>
      <c r="E277" s="4"/>
      <c r="F277" s="10" t="s">
        <v>988</v>
      </c>
      <c r="G277" s="19"/>
      <c r="H277" s="10"/>
      <c r="I277" s="20">
        <f t="shared" si="5"/>
        <v>0</v>
      </c>
      <c r="J277" s="10" t="s">
        <v>640</v>
      </c>
      <c r="K277" s="10">
        <v>1</v>
      </c>
      <c r="L277" s="4"/>
    </row>
    <row r="278" spans="1:12" hidden="1">
      <c r="A278" s="4"/>
      <c r="B278" s="4" t="s">
        <v>989</v>
      </c>
      <c r="C278" s="10" t="s">
        <v>92</v>
      </c>
      <c r="D278" s="26" t="s">
        <v>951</v>
      </c>
      <c r="E278" s="4"/>
      <c r="F278" s="10" t="s">
        <v>990</v>
      </c>
      <c r="G278" s="19"/>
      <c r="H278" s="10"/>
      <c r="I278" s="20">
        <f t="shared" si="5"/>
        <v>0</v>
      </c>
      <c r="J278" s="10" t="s">
        <v>593</v>
      </c>
      <c r="K278" s="10" t="s">
        <v>593</v>
      </c>
      <c r="L278" s="4"/>
    </row>
    <row r="279" spans="1:12" hidden="1">
      <c r="A279" s="4"/>
      <c r="B279" s="4" t="s">
        <v>991</v>
      </c>
      <c r="C279" s="10" t="s">
        <v>92</v>
      </c>
      <c r="D279" s="10" t="s">
        <v>992</v>
      </c>
      <c r="E279" s="4"/>
      <c r="F279" s="26" t="s">
        <v>993</v>
      </c>
      <c r="G279" s="19"/>
      <c r="H279" s="10"/>
      <c r="I279" s="20">
        <f t="shared" si="5"/>
        <v>0</v>
      </c>
      <c r="J279" s="10" t="s">
        <v>640</v>
      </c>
      <c r="K279" s="10">
        <v>1</v>
      </c>
      <c r="L279" s="4"/>
    </row>
    <row r="280" spans="1:12" hidden="1">
      <c r="A280" s="4"/>
      <c r="B280" s="4" t="s">
        <v>994</v>
      </c>
      <c r="C280" s="10" t="s">
        <v>92</v>
      </c>
      <c r="D280" s="10" t="s">
        <v>713</v>
      </c>
      <c r="E280" s="4"/>
      <c r="F280" s="10" t="s">
        <v>995</v>
      </c>
      <c r="G280" s="19"/>
      <c r="H280" s="10"/>
      <c r="I280" s="20">
        <f t="shared" si="5"/>
        <v>0</v>
      </c>
      <c r="J280" s="10" t="s">
        <v>815</v>
      </c>
      <c r="K280" s="10">
        <v>100</v>
      </c>
      <c r="L280" s="4"/>
    </row>
    <row r="281" spans="1:12" hidden="1">
      <c r="A281" s="4"/>
      <c r="B281" s="4" t="s">
        <v>996</v>
      </c>
      <c r="C281" s="10" t="s">
        <v>92</v>
      </c>
      <c r="D281" s="10" t="s">
        <v>992</v>
      </c>
      <c r="E281" s="4"/>
      <c r="F281" s="26" t="s">
        <v>997</v>
      </c>
      <c r="G281" s="19"/>
      <c r="H281" s="10"/>
      <c r="I281" s="20">
        <f t="shared" si="5"/>
        <v>0</v>
      </c>
      <c r="J281" s="10" t="s">
        <v>640</v>
      </c>
      <c r="K281" s="10">
        <v>1</v>
      </c>
      <c r="L281" s="4"/>
    </row>
    <row r="282" spans="1:12" hidden="1">
      <c r="A282" s="4"/>
      <c r="B282" s="4" t="s">
        <v>998</v>
      </c>
      <c r="C282" s="10" t="s">
        <v>92</v>
      </c>
      <c r="D282" s="10" t="s">
        <v>362</v>
      </c>
      <c r="E282" s="4"/>
      <c r="F282" s="10" t="s">
        <v>999</v>
      </c>
      <c r="G282" s="19"/>
      <c r="H282" s="10"/>
      <c r="I282" s="20">
        <f t="shared" si="5"/>
        <v>0</v>
      </c>
      <c r="J282" s="10" t="s">
        <v>640</v>
      </c>
      <c r="K282" s="10">
        <v>1</v>
      </c>
      <c r="L282" s="4"/>
    </row>
    <row r="283" spans="1:12" hidden="1">
      <c r="A283" s="4"/>
      <c r="B283" s="4" t="s">
        <v>1000</v>
      </c>
      <c r="C283" s="10" t="s">
        <v>92</v>
      </c>
      <c r="D283" s="10" t="s">
        <v>441</v>
      </c>
      <c r="E283" s="4"/>
      <c r="F283" s="10" t="s">
        <v>1001</v>
      </c>
      <c r="G283" s="19"/>
      <c r="H283" s="10"/>
      <c r="I283" s="20">
        <f t="shared" si="5"/>
        <v>0</v>
      </c>
      <c r="J283" s="10" t="s">
        <v>798</v>
      </c>
      <c r="K283" s="10">
        <v>1</v>
      </c>
      <c r="L283" s="4"/>
    </row>
    <row r="284" spans="1:12" hidden="1">
      <c r="A284" s="4"/>
      <c r="B284" s="4" t="s">
        <v>1002</v>
      </c>
      <c r="C284" s="10" t="s">
        <v>92</v>
      </c>
      <c r="D284" s="10" t="s">
        <v>117</v>
      </c>
      <c r="E284" s="4"/>
      <c r="F284" s="10" t="s">
        <v>1003</v>
      </c>
      <c r="G284" s="19"/>
      <c r="H284" s="10"/>
      <c r="I284" s="20">
        <f t="shared" si="5"/>
        <v>0</v>
      </c>
      <c r="J284" s="10" t="s">
        <v>798</v>
      </c>
      <c r="K284" s="10">
        <v>1</v>
      </c>
      <c r="L284" s="4"/>
    </row>
    <row r="285" spans="1:12" hidden="1">
      <c r="A285" s="4"/>
      <c r="B285" s="4" t="s">
        <v>1004</v>
      </c>
      <c r="C285" s="10" t="s">
        <v>92</v>
      </c>
      <c r="D285" s="10" t="s">
        <v>1005</v>
      </c>
      <c r="E285" s="4"/>
      <c r="F285" s="26" t="s">
        <v>1006</v>
      </c>
      <c r="G285" s="19"/>
      <c r="H285" s="10"/>
      <c r="I285" s="20">
        <f t="shared" si="5"/>
        <v>0</v>
      </c>
      <c r="J285" s="10" t="s">
        <v>640</v>
      </c>
      <c r="K285" s="10">
        <v>1</v>
      </c>
      <c r="L285" s="4"/>
    </row>
    <row r="286" spans="1:12" hidden="1">
      <c r="A286" s="4"/>
      <c r="B286" s="4" t="s">
        <v>1007</v>
      </c>
      <c r="C286" s="10" t="s">
        <v>92</v>
      </c>
      <c r="D286" s="10" t="s">
        <v>1008</v>
      </c>
      <c r="E286" s="4"/>
      <c r="F286" s="10" t="s">
        <v>1009</v>
      </c>
      <c r="G286" s="19"/>
      <c r="H286" s="10"/>
      <c r="I286" s="20">
        <f t="shared" si="5"/>
        <v>0</v>
      </c>
      <c r="J286" s="10" t="s">
        <v>640</v>
      </c>
      <c r="K286" s="10">
        <v>1</v>
      </c>
      <c r="L286" s="4"/>
    </row>
    <row r="287" spans="1:12" hidden="1">
      <c r="A287" s="4"/>
      <c r="B287" s="4" t="s">
        <v>1010</v>
      </c>
      <c r="C287" s="10" t="s">
        <v>92</v>
      </c>
      <c r="D287" s="26" t="s">
        <v>951</v>
      </c>
      <c r="E287" s="4"/>
      <c r="F287" s="10" t="s">
        <v>1011</v>
      </c>
      <c r="G287" s="19"/>
      <c r="H287" s="10"/>
      <c r="I287" s="20">
        <f t="shared" si="5"/>
        <v>0</v>
      </c>
      <c r="J287" s="10" t="s">
        <v>640</v>
      </c>
      <c r="K287" s="10">
        <v>1</v>
      </c>
      <c r="L287" s="4"/>
    </row>
    <row r="288" spans="1:12" hidden="1">
      <c r="A288" s="4"/>
      <c r="B288" s="42" t="s">
        <v>583</v>
      </c>
      <c r="C288" s="10" t="s">
        <v>122</v>
      </c>
      <c r="D288" s="10" t="s">
        <v>483</v>
      </c>
      <c r="E288" s="4"/>
      <c r="F288" s="10" t="s">
        <v>484</v>
      </c>
      <c r="G288" s="10"/>
      <c r="H288" s="10"/>
      <c r="I288" s="20">
        <f t="shared" si="5"/>
        <v>0</v>
      </c>
      <c r="J288" s="10" t="s">
        <v>586</v>
      </c>
      <c r="K288" s="10">
        <v>1</v>
      </c>
      <c r="L288" s="4"/>
    </row>
    <row r="289" spans="1:12" hidden="1">
      <c r="A289" s="4"/>
      <c r="B289" s="4" t="s">
        <v>1012</v>
      </c>
      <c r="C289" s="10" t="s">
        <v>92</v>
      </c>
      <c r="D289" s="26" t="s">
        <v>951</v>
      </c>
      <c r="E289" s="4"/>
      <c r="F289" s="10" t="s">
        <v>1013</v>
      </c>
      <c r="G289" s="19"/>
      <c r="H289" s="10"/>
      <c r="I289" s="20">
        <f t="shared" si="5"/>
        <v>0</v>
      </c>
      <c r="J289" s="10" t="s">
        <v>640</v>
      </c>
      <c r="K289" s="10">
        <v>1</v>
      </c>
      <c r="L289" s="4"/>
    </row>
    <row r="290" spans="1:12" hidden="1">
      <c r="A290" s="4"/>
      <c r="B290" s="4" t="s">
        <v>1014</v>
      </c>
      <c r="C290" s="10" t="s">
        <v>92</v>
      </c>
      <c r="D290" s="26" t="s">
        <v>1015</v>
      </c>
      <c r="E290" s="4"/>
      <c r="F290" s="10" t="s">
        <v>1016</v>
      </c>
      <c r="G290" s="19"/>
      <c r="H290" s="10"/>
      <c r="I290" s="20">
        <f t="shared" si="5"/>
        <v>0</v>
      </c>
      <c r="J290" s="10" t="s">
        <v>640</v>
      </c>
      <c r="K290" s="10">
        <v>1</v>
      </c>
      <c r="L290" s="4"/>
    </row>
    <row r="291" spans="1:12" hidden="1">
      <c r="A291" s="4"/>
      <c r="B291" s="4" t="s">
        <v>1017</v>
      </c>
      <c r="C291" s="10" t="s">
        <v>92</v>
      </c>
      <c r="D291" s="26" t="s">
        <v>1018</v>
      </c>
      <c r="E291" s="4"/>
      <c r="F291" s="10" t="s">
        <v>1019</v>
      </c>
      <c r="G291" s="19"/>
      <c r="H291" s="10"/>
      <c r="I291" s="20">
        <f t="shared" si="5"/>
        <v>0</v>
      </c>
      <c r="J291" s="10" t="s">
        <v>640</v>
      </c>
      <c r="K291" s="10">
        <v>1</v>
      </c>
      <c r="L291" s="4"/>
    </row>
    <row r="292" spans="1:12" hidden="1">
      <c r="A292" s="4"/>
      <c r="B292" s="4" t="s">
        <v>1020</v>
      </c>
      <c r="C292" s="10" t="s">
        <v>92</v>
      </c>
      <c r="D292" s="26" t="s">
        <v>1021</v>
      </c>
      <c r="E292" s="4"/>
      <c r="F292" s="10" t="s">
        <v>1022</v>
      </c>
      <c r="G292" s="19"/>
      <c r="H292" s="10"/>
      <c r="I292" s="20">
        <f t="shared" si="5"/>
        <v>0</v>
      </c>
      <c r="J292" s="10" t="s">
        <v>640</v>
      </c>
      <c r="K292" s="10">
        <v>1</v>
      </c>
      <c r="L292" s="4"/>
    </row>
    <row r="293" spans="1:12" hidden="1">
      <c r="A293" s="4"/>
      <c r="B293" s="42" t="s">
        <v>583</v>
      </c>
      <c r="C293" s="10" t="s">
        <v>122</v>
      </c>
      <c r="D293" s="10" t="s">
        <v>1023</v>
      </c>
      <c r="E293" s="4"/>
      <c r="F293" s="10" t="s">
        <v>1024</v>
      </c>
      <c r="G293" s="10"/>
      <c r="H293" s="10"/>
      <c r="I293" s="20">
        <f t="shared" si="5"/>
        <v>0</v>
      </c>
      <c r="J293" s="10" t="s">
        <v>586</v>
      </c>
      <c r="K293" s="10">
        <v>1</v>
      </c>
      <c r="L293" s="4"/>
    </row>
    <row r="294" spans="1:12" hidden="1">
      <c r="A294" s="4"/>
      <c r="B294" s="42" t="s">
        <v>583</v>
      </c>
      <c r="C294" s="10" t="s">
        <v>122</v>
      </c>
      <c r="D294" s="10" t="s">
        <v>1025</v>
      </c>
      <c r="E294" s="4"/>
      <c r="F294" s="10" t="s">
        <v>1026</v>
      </c>
      <c r="G294" s="10"/>
      <c r="H294" s="10"/>
      <c r="I294" s="20">
        <f t="shared" si="5"/>
        <v>0</v>
      </c>
      <c r="J294" s="10" t="s">
        <v>586</v>
      </c>
      <c r="K294" s="10">
        <v>1</v>
      </c>
      <c r="L294" s="4"/>
    </row>
    <row r="295" spans="1:12" hidden="1">
      <c r="A295" s="4"/>
      <c r="B295" s="42" t="s">
        <v>583</v>
      </c>
      <c r="C295" s="10" t="s">
        <v>122</v>
      </c>
      <c r="D295" s="10" t="s">
        <v>1027</v>
      </c>
      <c r="E295" s="4"/>
      <c r="F295" s="26" t="s">
        <v>1028</v>
      </c>
      <c r="G295" s="10"/>
      <c r="H295" s="10"/>
      <c r="I295" s="20">
        <f t="shared" si="5"/>
        <v>0</v>
      </c>
      <c r="J295" s="10" t="s">
        <v>586</v>
      </c>
      <c r="K295" s="10">
        <v>1</v>
      </c>
      <c r="L295" s="4"/>
    </row>
    <row r="296" spans="1:12" hidden="1">
      <c r="A296" s="4"/>
      <c r="B296" s="42" t="s">
        <v>583</v>
      </c>
      <c r="C296" s="10" t="s">
        <v>122</v>
      </c>
      <c r="D296" s="10" t="s">
        <v>1027</v>
      </c>
      <c r="E296" s="4"/>
      <c r="F296" s="26" t="s">
        <v>1029</v>
      </c>
      <c r="G296" s="10"/>
      <c r="H296" s="10"/>
      <c r="I296" s="20">
        <f t="shared" si="5"/>
        <v>0</v>
      </c>
      <c r="J296" s="10" t="s">
        <v>586</v>
      </c>
      <c r="K296" s="10">
        <v>1</v>
      </c>
      <c r="L296" s="4"/>
    </row>
    <row r="297" spans="1:12" hidden="1">
      <c r="A297" s="4"/>
      <c r="B297" s="4" t="s">
        <v>583</v>
      </c>
      <c r="C297" s="10" t="s">
        <v>122</v>
      </c>
      <c r="D297" s="10" t="s">
        <v>488</v>
      </c>
      <c r="E297" s="4"/>
      <c r="F297" s="26" t="s">
        <v>1030</v>
      </c>
      <c r="G297" s="10"/>
      <c r="H297" s="10"/>
      <c r="I297" s="20">
        <f t="shared" si="5"/>
        <v>0</v>
      </c>
      <c r="J297" s="10" t="s">
        <v>586</v>
      </c>
      <c r="K297" s="10">
        <v>1</v>
      </c>
      <c r="L297" s="4"/>
    </row>
    <row r="298" spans="1:12" hidden="1">
      <c r="A298" s="4"/>
      <c r="B298" s="4" t="s">
        <v>583</v>
      </c>
      <c r="C298" s="10" t="s">
        <v>122</v>
      </c>
      <c r="D298" s="10" t="s">
        <v>488</v>
      </c>
      <c r="E298" s="4"/>
      <c r="F298" s="26" t="s">
        <v>1031</v>
      </c>
      <c r="G298" s="10"/>
      <c r="H298" s="10"/>
      <c r="I298" s="20">
        <f t="shared" si="5"/>
        <v>0</v>
      </c>
      <c r="J298" s="10" t="s">
        <v>586</v>
      </c>
      <c r="K298" s="10">
        <v>1</v>
      </c>
      <c r="L298" s="4"/>
    </row>
    <row r="299" spans="1:12" hidden="1">
      <c r="A299" s="4"/>
      <c r="B299" s="4" t="s">
        <v>583</v>
      </c>
      <c r="C299" s="10" t="s">
        <v>122</v>
      </c>
      <c r="D299" s="10" t="s">
        <v>488</v>
      </c>
      <c r="E299" s="4"/>
      <c r="F299" s="26" t="s">
        <v>489</v>
      </c>
      <c r="G299" s="10"/>
      <c r="H299" s="10"/>
      <c r="I299" s="20">
        <f t="shared" si="5"/>
        <v>0</v>
      </c>
      <c r="J299" s="10" t="s">
        <v>586</v>
      </c>
      <c r="K299" s="10">
        <v>1</v>
      </c>
      <c r="L299" s="4"/>
    </row>
    <row r="300" spans="1:12" hidden="1">
      <c r="A300" s="4"/>
      <c r="B300" s="4" t="s">
        <v>583</v>
      </c>
      <c r="C300" s="10" t="s">
        <v>122</v>
      </c>
      <c r="D300" s="10" t="s">
        <v>493</v>
      </c>
      <c r="E300" s="4"/>
      <c r="F300" s="10" t="s">
        <v>494</v>
      </c>
      <c r="G300" s="10"/>
      <c r="H300" s="10"/>
      <c r="I300" s="20">
        <f t="shared" si="5"/>
        <v>0</v>
      </c>
      <c r="J300" s="10" t="s">
        <v>586</v>
      </c>
      <c r="K300" s="10">
        <v>1</v>
      </c>
      <c r="L300" s="4"/>
    </row>
    <row r="301" spans="1:12" hidden="1">
      <c r="A301" s="4"/>
      <c r="B301" s="4" t="s">
        <v>583</v>
      </c>
      <c r="C301" s="10" t="s">
        <v>122</v>
      </c>
      <c r="D301" s="10" t="s">
        <v>498</v>
      </c>
      <c r="E301" s="4"/>
      <c r="F301" s="10" t="s">
        <v>499</v>
      </c>
      <c r="G301" s="10"/>
      <c r="H301" s="10"/>
      <c r="I301" s="20">
        <f t="shared" si="5"/>
        <v>0</v>
      </c>
      <c r="J301" s="10" t="s">
        <v>586</v>
      </c>
      <c r="K301" s="10">
        <v>1</v>
      </c>
      <c r="L301" s="4"/>
    </row>
    <row r="302" spans="1:12" hidden="1">
      <c r="A302" s="4"/>
      <c r="B302" s="42" t="s">
        <v>583</v>
      </c>
      <c r="C302" s="10" t="s">
        <v>122</v>
      </c>
      <c r="D302" s="10" t="s">
        <v>1032</v>
      </c>
      <c r="E302" s="4"/>
      <c r="F302" s="26" t="s">
        <v>1033</v>
      </c>
      <c r="G302" s="10"/>
      <c r="H302" s="10"/>
      <c r="I302" s="20">
        <f t="shared" si="5"/>
        <v>0</v>
      </c>
      <c r="J302" s="10" t="s">
        <v>586</v>
      </c>
      <c r="K302" s="10">
        <v>1</v>
      </c>
      <c r="L302" s="4"/>
    </row>
    <row r="303" spans="1:12" hidden="1">
      <c r="A303" s="4"/>
      <c r="B303" s="42" t="s">
        <v>583</v>
      </c>
      <c r="C303" s="26" t="s">
        <v>29</v>
      </c>
      <c r="D303" s="10" t="s">
        <v>1034</v>
      </c>
      <c r="E303" s="4"/>
      <c r="F303" s="10" t="s">
        <v>1035</v>
      </c>
      <c r="G303" s="10"/>
      <c r="H303" s="10"/>
      <c r="I303" s="20">
        <f t="shared" si="5"/>
        <v>0</v>
      </c>
      <c r="J303" s="10" t="s">
        <v>586</v>
      </c>
      <c r="K303" s="10">
        <v>1</v>
      </c>
      <c r="L303" s="4"/>
    </row>
    <row r="304" spans="1:12" hidden="1">
      <c r="A304" s="4"/>
      <c r="B304" s="42" t="s">
        <v>583</v>
      </c>
      <c r="C304" s="26" t="s">
        <v>29</v>
      </c>
      <c r="D304" s="10" t="s">
        <v>1034</v>
      </c>
      <c r="E304" s="4"/>
      <c r="F304" s="10" t="s">
        <v>1036</v>
      </c>
      <c r="G304" s="10"/>
      <c r="H304" s="10"/>
      <c r="I304" s="20">
        <f t="shared" si="5"/>
        <v>0</v>
      </c>
      <c r="J304" s="10" t="s">
        <v>586</v>
      </c>
      <c r="K304" s="10">
        <v>1</v>
      </c>
      <c r="L304" s="4"/>
    </row>
    <row r="305" spans="1:12" hidden="1">
      <c r="A305" s="4"/>
      <c r="B305" s="42" t="s">
        <v>583</v>
      </c>
      <c r="C305" s="26" t="s">
        <v>29</v>
      </c>
      <c r="D305" s="10" t="s">
        <v>128</v>
      </c>
      <c r="E305" s="4"/>
      <c r="F305" s="10" t="s">
        <v>1037</v>
      </c>
      <c r="G305" s="10"/>
      <c r="H305" s="10"/>
      <c r="I305" s="20">
        <f t="shared" si="5"/>
        <v>0</v>
      </c>
      <c r="J305" s="10" t="s">
        <v>586</v>
      </c>
      <c r="K305" s="10">
        <v>1</v>
      </c>
      <c r="L305" s="4"/>
    </row>
    <row r="306" spans="1:12" hidden="1">
      <c r="A306" s="4"/>
      <c r="B306" s="42" t="s">
        <v>583</v>
      </c>
      <c r="C306" s="26" t="s">
        <v>29</v>
      </c>
      <c r="D306" s="10" t="s">
        <v>128</v>
      </c>
      <c r="E306" s="4"/>
      <c r="F306" s="10" t="s">
        <v>1038</v>
      </c>
      <c r="G306" s="10"/>
      <c r="H306" s="10"/>
      <c r="I306" s="20">
        <f t="shared" si="5"/>
        <v>0</v>
      </c>
      <c r="J306" s="10" t="s">
        <v>586</v>
      </c>
      <c r="K306" s="10">
        <v>1</v>
      </c>
      <c r="L306" s="4"/>
    </row>
    <row r="307" spans="1:12" hidden="1">
      <c r="A307" s="4"/>
      <c r="B307" s="42" t="s">
        <v>583</v>
      </c>
      <c r="C307" s="26" t="s">
        <v>29</v>
      </c>
      <c r="D307" s="10" t="s">
        <v>128</v>
      </c>
      <c r="E307" s="4"/>
      <c r="F307" s="10" t="s">
        <v>1039</v>
      </c>
      <c r="G307" s="10"/>
      <c r="H307" s="10"/>
      <c r="I307" s="20">
        <f t="shared" si="5"/>
        <v>0</v>
      </c>
      <c r="J307" s="10" t="s">
        <v>586</v>
      </c>
      <c r="K307" s="10">
        <v>1</v>
      </c>
      <c r="L307" s="4"/>
    </row>
    <row r="308" spans="1:12" hidden="1">
      <c r="A308" s="4"/>
      <c r="B308" s="42" t="s">
        <v>583</v>
      </c>
      <c r="C308" s="26" t="s">
        <v>29</v>
      </c>
      <c r="D308" s="10" t="s">
        <v>1040</v>
      </c>
      <c r="E308" s="4"/>
      <c r="F308" s="10" t="s">
        <v>1041</v>
      </c>
      <c r="G308" s="10"/>
      <c r="H308" s="10"/>
      <c r="I308" s="20">
        <f t="shared" si="5"/>
        <v>0</v>
      </c>
      <c r="J308" s="10" t="s">
        <v>586</v>
      </c>
      <c r="K308" s="10">
        <v>1</v>
      </c>
      <c r="L308" s="4"/>
    </row>
    <row r="309" spans="1:12" hidden="1">
      <c r="A309" s="4"/>
      <c r="B309" s="42" t="s">
        <v>583</v>
      </c>
      <c r="C309" s="26" t="s">
        <v>29</v>
      </c>
      <c r="D309" s="10" t="s">
        <v>1042</v>
      </c>
      <c r="E309" s="4"/>
      <c r="F309" s="10" t="s">
        <v>1043</v>
      </c>
      <c r="G309" s="10"/>
      <c r="H309" s="10"/>
      <c r="I309" s="20">
        <f t="shared" si="5"/>
        <v>0</v>
      </c>
      <c r="J309" s="10" t="s">
        <v>586</v>
      </c>
      <c r="K309" s="10">
        <v>1</v>
      </c>
      <c r="L309" s="4"/>
    </row>
    <row r="310" spans="1:12" hidden="1">
      <c r="A310" s="4"/>
      <c r="B310" s="42" t="s">
        <v>583</v>
      </c>
      <c r="C310" s="26" t="s">
        <v>29</v>
      </c>
      <c r="D310" s="10" t="s">
        <v>1042</v>
      </c>
      <c r="E310" s="4"/>
      <c r="F310" s="10" t="s">
        <v>1044</v>
      </c>
      <c r="G310" s="10"/>
      <c r="H310" s="10"/>
      <c r="I310" s="20">
        <f t="shared" si="5"/>
        <v>0</v>
      </c>
      <c r="J310" s="10" t="s">
        <v>586</v>
      </c>
      <c r="K310" s="10">
        <v>1</v>
      </c>
      <c r="L310" s="4"/>
    </row>
    <row r="311" spans="1:12" hidden="1">
      <c r="A311" s="4"/>
      <c r="B311" s="42" t="s">
        <v>583</v>
      </c>
      <c r="C311" s="26" t="s">
        <v>29</v>
      </c>
      <c r="D311" s="10" t="s">
        <v>141</v>
      </c>
      <c r="E311" s="4"/>
      <c r="F311" s="10" t="s">
        <v>1045</v>
      </c>
      <c r="G311" s="10"/>
      <c r="H311" s="10"/>
      <c r="I311" s="20">
        <f t="shared" si="5"/>
        <v>0</v>
      </c>
      <c r="J311" s="10" t="s">
        <v>586</v>
      </c>
      <c r="K311" s="10">
        <v>1</v>
      </c>
      <c r="L311" s="4"/>
    </row>
    <row r="312" spans="1:12" hidden="1">
      <c r="A312" s="4"/>
      <c r="B312" s="42" t="s">
        <v>583</v>
      </c>
      <c r="C312" s="26" t="s">
        <v>29</v>
      </c>
      <c r="D312" s="10" t="s">
        <v>152</v>
      </c>
      <c r="E312" s="4"/>
      <c r="F312" s="10" t="s">
        <v>1046</v>
      </c>
      <c r="G312" s="10"/>
      <c r="H312" s="10"/>
      <c r="I312" s="20">
        <f t="shared" si="5"/>
        <v>0</v>
      </c>
      <c r="J312" s="10" t="s">
        <v>586</v>
      </c>
      <c r="K312" s="10">
        <v>1</v>
      </c>
      <c r="L312" s="4"/>
    </row>
    <row r="313" spans="1:12" hidden="1">
      <c r="A313" s="4"/>
      <c r="B313" s="42" t="s">
        <v>583</v>
      </c>
      <c r="C313" s="26" t="s">
        <v>29</v>
      </c>
      <c r="D313" s="10" t="s">
        <v>152</v>
      </c>
      <c r="E313" s="4"/>
      <c r="F313" s="10" t="s">
        <v>1047</v>
      </c>
      <c r="G313" s="10"/>
      <c r="H313" s="10"/>
      <c r="I313" s="20">
        <f t="shared" si="5"/>
        <v>0</v>
      </c>
      <c r="J313" s="10" t="s">
        <v>586</v>
      </c>
      <c r="K313" s="10">
        <v>1</v>
      </c>
      <c r="L313" s="4"/>
    </row>
    <row r="314" spans="1:12" hidden="1">
      <c r="A314" s="4"/>
      <c r="B314" s="42" t="s">
        <v>583</v>
      </c>
      <c r="C314" s="26" t="s">
        <v>29</v>
      </c>
      <c r="D314" s="10" t="s">
        <v>152</v>
      </c>
      <c r="E314" s="4"/>
      <c r="F314" s="10" t="s">
        <v>1048</v>
      </c>
      <c r="G314" s="10"/>
      <c r="H314" s="10"/>
      <c r="I314" s="20">
        <f t="shared" si="5"/>
        <v>0</v>
      </c>
      <c r="J314" s="10" t="s">
        <v>586</v>
      </c>
      <c r="K314" s="10">
        <v>1</v>
      </c>
      <c r="L314" s="4"/>
    </row>
    <row r="315" spans="1:12" hidden="1">
      <c r="A315" s="4"/>
      <c r="B315" s="42" t="s">
        <v>583</v>
      </c>
      <c r="C315" s="26" t="s">
        <v>29</v>
      </c>
      <c r="D315" s="10" t="s">
        <v>152</v>
      </c>
      <c r="E315" s="4"/>
      <c r="F315" s="10" t="s">
        <v>1049</v>
      </c>
      <c r="G315" s="10"/>
      <c r="H315" s="10"/>
      <c r="I315" s="20">
        <f t="shared" si="5"/>
        <v>0</v>
      </c>
      <c r="J315" s="10" t="s">
        <v>586</v>
      </c>
      <c r="K315" s="10">
        <v>1</v>
      </c>
      <c r="L315" s="4"/>
    </row>
    <row r="316" spans="1:12" hidden="1">
      <c r="A316" s="4"/>
      <c r="B316" s="42" t="s">
        <v>583</v>
      </c>
      <c r="C316" s="26" t="s">
        <v>29</v>
      </c>
      <c r="D316" s="10" t="s">
        <v>152</v>
      </c>
      <c r="E316" s="4"/>
      <c r="F316" s="10" t="s">
        <v>1050</v>
      </c>
      <c r="G316" s="10"/>
      <c r="H316" s="10"/>
      <c r="I316" s="20">
        <f t="shared" si="5"/>
        <v>0</v>
      </c>
      <c r="J316" s="10" t="s">
        <v>586</v>
      </c>
      <c r="K316" s="10">
        <v>1</v>
      </c>
      <c r="L316" s="4"/>
    </row>
    <row r="317" spans="1:12" hidden="1">
      <c r="A317" s="4"/>
      <c r="B317" s="42" t="s">
        <v>583</v>
      </c>
      <c r="C317" s="26" t="s">
        <v>29</v>
      </c>
      <c r="D317" s="10" t="s">
        <v>152</v>
      </c>
      <c r="E317" s="4"/>
      <c r="F317" s="10" t="s">
        <v>1051</v>
      </c>
      <c r="G317" s="10"/>
      <c r="H317" s="10"/>
      <c r="I317" s="20">
        <f t="shared" si="5"/>
        <v>0</v>
      </c>
      <c r="J317" s="10" t="s">
        <v>586</v>
      </c>
      <c r="K317" s="10">
        <v>1</v>
      </c>
      <c r="L317" s="4"/>
    </row>
    <row r="318" spans="1:12">
      <c r="A318" s="4"/>
      <c r="B318" s="4" t="s">
        <v>583</v>
      </c>
      <c r="C318" s="26" t="s">
        <v>522</v>
      </c>
      <c r="D318" s="10" t="s">
        <v>1052</v>
      </c>
      <c r="E318" s="4"/>
      <c r="F318" s="26" t="s">
        <v>1053</v>
      </c>
      <c r="G318" s="10"/>
      <c r="H318" s="10"/>
      <c r="I318" s="20">
        <f t="shared" si="5"/>
        <v>0</v>
      </c>
      <c r="J318" s="29" t="s">
        <v>586</v>
      </c>
      <c r="K318" s="10">
        <v>1</v>
      </c>
      <c r="L318" s="4"/>
    </row>
    <row r="319" spans="1:12">
      <c r="A319" s="4"/>
      <c r="B319" s="4" t="s">
        <v>583</v>
      </c>
      <c r="C319" s="26" t="s">
        <v>522</v>
      </c>
      <c r="D319" s="10" t="s">
        <v>1054</v>
      </c>
      <c r="E319" s="4"/>
      <c r="F319" s="10" t="s">
        <v>1055</v>
      </c>
      <c r="G319" s="10"/>
      <c r="H319" s="10"/>
      <c r="I319" s="20">
        <f t="shared" si="5"/>
        <v>0</v>
      </c>
      <c r="J319" s="29" t="s">
        <v>586</v>
      </c>
      <c r="K319" s="10">
        <v>1</v>
      </c>
      <c r="L319" s="4"/>
    </row>
    <row r="320" spans="1:12">
      <c r="A320" s="4"/>
      <c r="B320" s="4" t="s">
        <v>583</v>
      </c>
      <c r="C320" s="26" t="s">
        <v>522</v>
      </c>
      <c r="D320" s="10" t="s">
        <v>1054</v>
      </c>
      <c r="E320" s="4"/>
      <c r="F320" s="10" t="s">
        <v>1056</v>
      </c>
      <c r="G320" s="10"/>
      <c r="H320" s="10"/>
      <c r="I320" s="20">
        <f t="shared" si="5"/>
        <v>0</v>
      </c>
      <c r="J320" s="29" t="s">
        <v>586</v>
      </c>
      <c r="K320" s="10">
        <v>1</v>
      </c>
      <c r="L320" s="4"/>
    </row>
    <row r="321" spans="1:12">
      <c r="A321" s="4"/>
      <c r="B321" s="4" t="s">
        <v>583</v>
      </c>
      <c r="C321" s="26" t="s">
        <v>522</v>
      </c>
      <c r="D321" s="10" t="s">
        <v>1052</v>
      </c>
      <c r="E321" s="4"/>
      <c r="F321" s="26" t="s">
        <v>1057</v>
      </c>
      <c r="G321" s="10"/>
      <c r="H321" s="10"/>
      <c r="I321" s="20">
        <f t="shared" si="5"/>
        <v>0</v>
      </c>
      <c r="J321" s="29" t="s">
        <v>586</v>
      </c>
      <c r="K321" s="10">
        <v>1</v>
      </c>
      <c r="L321" s="4"/>
    </row>
    <row r="322" spans="1:12">
      <c r="A322" s="4"/>
      <c r="B322" s="4" t="s">
        <v>583</v>
      </c>
      <c r="C322" s="26" t="s">
        <v>522</v>
      </c>
      <c r="D322" s="10" t="s">
        <v>1052</v>
      </c>
      <c r="E322" s="4"/>
      <c r="F322" s="26" t="s">
        <v>1058</v>
      </c>
      <c r="G322" s="10"/>
      <c r="H322" s="10"/>
      <c r="I322" s="20">
        <f t="shared" si="5"/>
        <v>0</v>
      </c>
      <c r="J322" s="29" t="s">
        <v>586</v>
      </c>
      <c r="K322" s="10">
        <v>1</v>
      </c>
      <c r="L322" s="4"/>
    </row>
    <row r="323" spans="1:12">
      <c r="A323" s="4"/>
      <c r="B323" s="4" t="s">
        <v>583</v>
      </c>
      <c r="C323" s="33" t="s">
        <v>522</v>
      </c>
      <c r="D323" s="29" t="s">
        <v>1052</v>
      </c>
      <c r="E323" s="28"/>
      <c r="F323" s="12" t="s">
        <v>1059</v>
      </c>
      <c r="G323" s="29"/>
      <c r="H323" s="29"/>
      <c r="I323" s="20">
        <f t="shared" si="5"/>
        <v>0</v>
      </c>
      <c r="J323" s="29" t="s">
        <v>586</v>
      </c>
      <c r="K323" s="10">
        <v>1</v>
      </c>
      <c r="L323" s="28"/>
    </row>
    <row r="324" spans="1:12" hidden="1">
      <c r="A324" s="4"/>
      <c r="B324" s="4" t="s">
        <v>583</v>
      </c>
      <c r="C324" s="10" t="s">
        <v>1060</v>
      </c>
      <c r="D324" s="10" t="s">
        <v>1061</v>
      </c>
      <c r="E324" s="4"/>
      <c r="F324" s="26" t="s">
        <v>1062</v>
      </c>
      <c r="G324" s="19"/>
      <c r="H324" s="19"/>
      <c r="I324" s="20">
        <f t="shared" si="5"/>
        <v>0</v>
      </c>
      <c r="J324" s="10" t="s">
        <v>1063</v>
      </c>
      <c r="K324" s="10">
        <v>1</v>
      </c>
      <c r="L324" s="5"/>
    </row>
    <row r="325" spans="1:12" hidden="1">
      <c r="A325" s="4"/>
      <c r="B325" s="4" t="s">
        <v>583</v>
      </c>
      <c r="C325" s="10" t="s">
        <v>1060</v>
      </c>
      <c r="D325" s="10" t="s">
        <v>1061</v>
      </c>
      <c r="E325" s="4"/>
      <c r="F325" s="26" t="s">
        <v>1064</v>
      </c>
      <c r="G325" s="19"/>
      <c r="H325" s="19"/>
      <c r="I325" s="20">
        <f t="shared" si="5"/>
        <v>0</v>
      </c>
      <c r="J325" s="10" t="s">
        <v>1063</v>
      </c>
      <c r="K325" s="10">
        <v>1</v>
      </c>
      <c r="L325" s="5"/>
    </row>
    <row r="326" spans="1:12" hidden="1">
      <c r="A326" s="4"/>
      <c r="B326" s="4" t="s">
        <v>583</v>
      </c>
      <c r="C326" s="10" t="s">
        <v>1060</v>
      </c>
      <c r="D326" s="10" t="s">
        <v>1065</v>
      </c>
      <c r="E326" s="4"/>
      <c r="F326" s="26" t="s">
        <v>1066</v>
      </c>
      <c r="G326" s="19"/>
      <c r="H326" s="19"/>
      <c r="I326" s="20">
        <f t="shared" si="5"/>
        <v>0</v>
      </c>
      <c r="J326" s="10" t="s">
        <v>1063</v>
      </c>
      <c r="K326" s="10">
        <v>1</v>
      </c>
      <c r="L326" s="5"/>
    </row>
    <row r="327" spans="1:12" hidden="1">
      <c r="A327" s="4"/>
      <c r="B327" s="4" t="s">
        <v>583</v>
      </c>
      <c r="C327" s="10" t="s">
        <v>1060</v>
      </c>
      <c r="D327" s="10" t="s">
        <v>1067</v>
      </c>
      <c r="E327" s="4"/>
      <c r="F327" s="26" t="s">
        <v>1068</v>
      </c>
      <c r="G327" s="19"/>
      <c r="H327" s="19"/>
      <c r="I327" s="20">
        <f t="shared" si="5"/>
        <v>0</v>
      </c>
      <c r="J327" s="10" t="s">
        <v>1063</v>
      </c>
      <c r="K327" s="10">
        <v>1</v>
      </c>
      <c r="L327" s="5"/>
    </row>
    <row r="328" spans="1:12" hidden="1">
      <c r="A328" s="4"/>
      <c r="B328" s="4" t="s">
        <v>583</v>
      </c>
      <c r="C328" s="10" t="s">
        <v>1060</v>
      </c>
      <c r="D328" s="10" t="s">
        <v>1069</v>
      </c>
      <c r="E328" s="4"/>
      <c r="F328" s="26" t="s">
        <v>1070</v>
      </c>
      <c r="G328" s="19"/>
      <c r="H328" s="19"/>
      <c r="I328" s="20">
        <f t="shared" si="5"/>
        <v>0</v>
      </c>
      <c r="J328" s="10" t="s">
        <v>1063</v>
      </c>
      <c r="K328" s="10">
        <v>1</v>
      </c>
      <c r="L328" s="5"/>
    </row>
    <row r="329" spans="1:12" hidden="1">
      <c r="A329" s="4"/>
      <c r="B329" s="4" t="s">
        <v>583</v>
      </c>
      <c r="C329" s="10" t="s">
        <v>1060</v>
      </c>
      <c r="D329" s="10" t="s">
        <v>1071</v>
      </c>
      <c r="E329" s="4"/>
      <c r="F329" s="26" t="s">
        <v>1072</v>
      </c>
      <c r="G329" s="19"/>
      <c r="H329" s="19"/>
      <c r="I329" s="20">
        <f t="shared" si="5"/>
        <v>0</v>
      </c>
      <c r="J329" s="10" t="s">
        <v>1063</v>
      </c>
      <c r="K329" s="10">
        <v>1</v>
      </c>
      <c r="L329" s="5"/>
    </row>
    <row r="330" spans="1:12" hidden="1">
      <c r="A330" s="4"/>
      <c r="B330" s="4" t="s">
        <v>583</v>
      </c>
      <c r="C330" s="10" t="s">
        <v>1060</v>
      </c>
      <c r="D330" s="10" t="s">
        <v>1073</v>
      </c>
      <c r="E330" s="4"/>
      <c r="F330" s="10" t="s">
        <v>1074</v>
      </c>
      <c r="G330" s="19"/>
      <c r="H330" s="19"/>
      <c r="I330" s="20">
        <f t="shared" si="5"/>
        <v>0</v>
      </c>
      <c r="J330" s="10" t="s">
        <v>1063</v>
      </c>
      <c r="K330" s="10">
        <v>1</v>
      </c>
      <c r="L330" s="5"/>
    </row>
    <row r="331" spans="1:12" hidden="1">
      <c r="A331" s="4"/>
      <c r="B331" s="4" t="s">
        <v>583</v>
      </c>
      <c r="C331" s="10" t="s">
        <v>1060</v>
      </c>
      <c r="D331" s="10" t="s">
        <v>1075</v>
      </c>
      <c r="E331" s="4"/>
      <c r="F331" s="10" t="s">
        <v>1076</v>
      </c>
      <c r="G331" s="19"/>
      <c r="H331" s="19"/>
      <c r="I331" s="20">
        <f t="shared" si="5"/>
        <v>0</v>
      </c>
      <c r="J331" s="10" t="s">
        <v>1063</v>
      </c>
      <c r="K331" s="10">
        <v>1</v>
      </c>
      <c r="L331" s="5"/>
    </row>
    <row r="332" spans="1:12" hidden="1">
      <c r="A332" s="4"/>
      <c r="B332" s="4" t="s">
        <v>583</v>
      </c>
      <c r="C332" s="10" t="s">
        <v>1060</v>
      </c>
      <c r="D332" s="10" t="s">
        <v>1077</v>
      </c>
      <c r="E332" s="4"/>
      <c r="F332" s="26" t="s">
        <v>1078</v>
      </c>
      <c r="G332" s="19"/>
      <c r="H332" s="19"/>
      <c r="I332" s="20">
        <f t="shared" ref="I332:I395" si="6">G332+H332</f>
        <v>0</v>
      </c>
      <c r="J332" s="10" t="s">
        <v>1063</v>
      </c>
      <c r="K332" s="10">
        <v>1</v>
      </c>
      <c r="L332" s="5"/>
    </row>
    <row r="333" spans="1:12" hidden="1">
      <c r="A333" s="4"/>
      <c r="B333" s="4" t="s">
        <v>583</v>
      </c>
      <c r="C333" s="10" t="s">
        <v>1060</v>
      </c>
      <c r="D333" s="10" t="s">
        <v>1077</v>
      </c>
      <c r="E333" s="4"/>
      <c r="F333" s="26" t="s">
        <v>1079</v>
      </c>
      <c r="G333" s="19"/>
      <c r="H333" s="19"/>
      <c r="I333" s="20">
        <f t="shared" si="6"/>
        <v>0</v>
      </c>
      <c r="J333" s="10" t="s">
        <v>1063</v>
      </c>
      <c r="K333" s="10">
        <v>1</v>
      </c>
      <c r="L333" s="5"/>
    </row>
    <row r="334" spans="1:12" hidden="1">
      <c r="A334" s="4"/>
      <c r="B334" s="4" t="s">
        <v>583</v>
      </c>
      <c r="C334" s="10" t="s">
        <v>1060</v>
      </c>
      <c r="D334" s="10" t="s">
        <v>1080</v>
      </c>
      <c r="E334" s="4"/>
      <c r="F334" s="26" t="s">
        <v>1081</v>
      </c>
      <c r="G334" s="19"/>
      <c r="H334" s="19"/>
      <c r="I334" s="20">
        <f t="shared" si="6"/>
        <v>0</v>
      </c>
      <c r="J334" s="10" t="s">
        <v>1063</v>
      </c>
      <c r="K334" s="10">
        <v>1</v>
      </c>
      <c r="L334" s="5"/>
    </row>
    <row r="335" spans="1:12" hidden="1">
      <c r="A335" s="4"/>
      <c r="B335" s="4" t="s">
        <v>583</v>
      </c>
      <c r="C335" s="10" t="s">
        <v>1060</v>
      </c>
      <c r="D335" s="10" t="s">
        <v>1061</v>
      </c>
      <c r="E335" s="4"/>
      <c r="F335" s="26" t="s">
        <v>1082</v>
      </c>
      <c r="G335" s="19"/>
      <c r="H335" s="19"/>
      <c r="I335" s="20">
        <f t="shared" si="6"/>
        <v>0</v>
      </c>
      <c r="J335" s="10" t="s">
        <v>1063</v>
      </c>
      <c r="K335" s="10">
        <v>1</v>
      </c>
      <c r="L335" s="5"/>
    </row>
    <row r="336" spans="1:12" hidden="1">
      <c r="A336" s="4"/>
      <c r="B336" s="4" t="s">
        <v>583</v>
      </c>
      <c r="C336" s="10" t="s">
        <v>1060</v>
      </c>
      <c r="D336" s="10" t="s">
        <v>1083</v>
      </c>
      <c r="E336" s="4"/>
      <c r="F336" s="26" t="s">
        <v>1084</v>
      </c>
      <c r="G336" s="19"/>
      <c r="H336" s="19"/>
      <c r="I336" s="20">
        <f t="shared" si="6"/>
        <v>0</v>
      </c>
      <c r="J336" s="10" t="s">
        <v>1063</v>
      </c>
      <c r="K336" s="10">
        <v>1</v>
      </c>
      <c r="L336" s="5"/>
    </row>
    <row r="337" spans="1:12" hidden="1">
      <c r="A337" s="4"/>
      <c r="B337" s="4" t="s">
        <v>583</v>
      </c>
      <c r="C337" s="10" t="s">
        <v>1060</v>
      </c>
      <c r="D337" s="10" t="s">
        <v>1085</v>
      </c>
      <c r="E337" s="4"/>
      <c r="F337" s="26" t="s">
        <v>1086</v>
      </c>
      <c r="G337" s="19"/>
      <c r="H337" s="19"/>
      <c r="I337" s="20">
        <f t="shared" si="6"/>
        <v>0</v>
      </c>
      <c r="J337" s="10" t="s">
        <v>1063</v>
      </c>
      <c r="K337" s="10">
        <v>1</v>
      </c>
      <c r="L337" s="5"/>
    </row>
    <row r="338" spans="1:12" hidden="1">
      <c r="A338" s="4"/>
      <c r="B338" s="4" t="s">
        <v>583</v>
      </c>
      <c r="C338" s="10" t="s">
        <v>1060</v>
      </c>
      <c r="D338" s="10" t="s">
        <v>1065</v>
      </c>
      <c r="E338" s="4"/>
      <c r="F338" s="26" t="s">
        <v>1087</v>
      </c>
      <c r="G338" s="19"/>
      <c r="H338" s="19"/>
      <c r="I338" s="20">
        <f t="shared" si="6"/>
        <v>0</v>
      </c>
      <c r="J338" s="10" t="s">
        <v>1063</v>
      </c>
      <c r="K338" s="10">
        <v>1</v>
      </c>
      <c r="L338" s="5"/>
    </row>
    <row r="339" spans="1:12" hidden="1">
      <c r="A339" s="4"/>
      <c r="B339" s="4" t="s">
        <v>583</v>
      </c>
      <c r="C339" s="10" t="s">
        <v>1060</v>
      </c>
      <c r="D339" s="10" t="s">
        <v>1088</v>
      </c>
      <c r="E339" s="4"/>
      <c r="F339" s="10" t="s">
        <v>1089</v>
      </c>
      <c r="G339" s="19"/>
      <c r="H339" s="19"/>
      <c r="I339" s="20">
        <f t="shared" si="6"/>
        <v>0</v>
      </c>
      <c r="J339" s="10" t="s">
        <v>1063</v>
      </c>
      <c r="K339" s="10">
        <v>1</v>
      </c>
      <c r="L339" s="5"/>
    </row>
    <row r="340" spans="1:12" hidden="1">
      <c r="A340" s="4"/>
      <c r="B340" s="4" t="s">
        <v>583</v>
      </c>
      <c r="C340" s="10" t="s">
        <v>1060</v>
      </c>
      <c r="D340" s="10" t="s">
        <v>1069</v>
      </c>
      <c r="E340" s="4"/>
      <c r="F340" s="10" t="s">
        <v>1090</v>
      </c>
      <c r="G340" s="19"/>
      <c r="H340" s="19"/>
      <c r="I340" s="20">
        <f t="shared" si="6"/>
        <v>0</v>
      </c>
      <c r="J340" s="10" t="s">
        <v>1063</v>
      </c>
      <c r="K340" s="10">
        <v>1</v>
      </c>
      <c r="L340" s="5"/>
    </row>
    <row r="341" spans="1:12" hidden="1">
      <c r="A341" s="4"/>
      <c r="B341" s="4" t="s">
        <v>583</v>
      </c>
      <c r="C341" s="10" t="s">
        <v>1060</v>
      </c>
      <c r="D341" s="10" t="s">
        <v>1069</v>
      </c>
      <c r="E341" s="4"/>
      <c r="F341" s="10" t="s">
        <v>1091</v>
      </c>
      <c r="G341" s="19"/>
      <c r="H341" s="19"/>
      <c r="I341" s="20">
        <f t="shared" si="6"/>
        <v>0</v>
      </c>
      <c r="J341" s="10" t="s">
        <v>1063</v>
      </c>
      <c r="K341" s="10">
        <v>1</v>
      </c>
      <c r="L341" s="5"/>
    </row>
    <row r="342" spans="1:12" hidden="1">
      <c r="A342" s="4"/>
      <c r="B342" s="4" t="s">
        <v>583</v>
      </c>
      <c r="C342" s="10" t="s">
        <v>1060</v>
      </c>
      <c r="D342" s="10" t="s">
        <v>1071</v>
      </c>
      <c r="E342" s="4"/>
      <c r="F342" s="26" t="s">
        <v>1092</v>
      </c>
      <c r="G342" s="19"/>
      <c r="H342" s="19"/>
      <c r="I342" s="20">
        <f t="shared" si="6"/>
        <v>0</v>
      </c>
      <c r="J342" s="10" t="s">
        <v>1063</v>
      </c>
      <c r="K342" s="10">
        <v>1</v>
      </c>
      <c r="L342" s="5"/>
    </row>
    <row r="343" spans="1:12" hidden="1">
      <c r="A343" s="4"/>
      <c r="B343" s="4" t="s">
        <v>583</v>
      </c>
      <c r="C343" s="10" t="s">
        <v>1060</v>
      </c>
      <c r="D343" s="10" t="s">
        <v>1093</v>
      </c>
      <c r="E343" s="4"/>
      <c r="F343" s="26" t="s">
        <v>1094</v>
      </c>
      <c r="G343" s="19"/>
      <c r="H343" s="19"/>
      <c r="I343" s="20">
        <f t="shared" si="6"/>
        <v>0</v>
      </c>
      <c r="J343" s="10" t="s">
        <v>1063</v>
      </c>
      <c r="K343" s="10">
        <v>1</v>
      </c>
      <c r="L343" s="5"/>
    </row>
    <row r="344" spans="1:12" hidden="1">
      <c r="A344" s="4"/>
      <c r="B344" s="4" t="s">
        <v>583</v>
      </c>
      <c r="C344" s="10" t="s">
        <v>158</v>
      </c>
      <c r="D344" s="10" t="s">
        <v>1095</v>
      </c>
      <c r="E344" s="4"/>
      <c r="F344" s="10" t="s">
        <v>1096</v>
      </c>
      <c r="G344" s="10"/>
      <c r="H344" s="10"/>
      <c r="I344" s="20">
        <f t="shared" si="6"/>
        <v>0</v>
      </c>
      <c r="J344" s="10" t="s">
        <v>586</v>
      </c>
      <c r="K344" s="10">
        <v>1</v>
      </c>
      <c r="L344" s="4"/>
    </row>
    <row r="345" spans="1:12" hidden="1">
      <c r="A345" s="4"/>
      <c r="B345" s="4" t="s">
        <v>583</v>
      </c>
      <c r="C345" s="10" t="s">
        <v>1060</v>
      </c>
      <c r="D345" s="10" t="s">
        <v>1097</v>
      </c>
      <c r="E345" s="4"/>
      <c r="F345" s="26" t="s">
        <v>1098</v>
      </c>
      <c r="G345" s="19"/>
      <c r="H345" s="19"/>
      <c r="I345" s="20">
        <f t="shared" si="6"/>
        <v>0</v>
      </c>
      <c r="J345" s="10" t="s">
        <v>1063</v>
      </c>
      <c r="K345" s="10">
        <v>1</v>
      </c>
      <c r="L345" s="5"/>
    </row>
    <row r="346" spans="1:12" hidden="1">
      <c r="A346" s="4"/>
      <c r="B346" s="4" t="s">
        <v>583</v>
      </c>
      <c r="C346" s="10" t="s">
        <v>1060</v>
      </c>
      <c r="D346" s="10" t="s">
        <v>1099</v>
      </c>
      <c r="E346" s="4"/>
      <c r="F346" s="26" t="s">
        <v>1100</v>
      </c>
      <c r="G346" s="19"/>
      <c r="H346" s="19"/>
      <c r="I346" s="20">
        <f t="shared" si="6"/>
        <v>0</v>
      </c>
      <c r="J346" s="10" t="s">
        <v>1063</v>
      </c>
      <c r="K346" s="10">
        <v>1</v>
      </c>
      <c r="L346" s="5"/>
    </row>
    <row r="347" spans="1:12" hidden="1">
      <c r="A347" s="4"/>
      <c r="B347" s="4" t="s">
        <v>583</v>
      </c>
      <c r="C347" s="10" t="s">
        <v>1060</v>
      </c>
      <c r="D347" s="10" t="s">
        <v>1101</v>
      </c>
      <c r="E347" s="4"/>
      <c r="F347" s="26" t="s">
        <v>1102</v>
      </c>
      <c r="G347" s="19"/>
      <c r="H347" s="19"/>
      <c r="I347" s="20">
        <f t="shared" si="6"/>
        <v>0</v>
      </c>
      <c r="J347" s="10" t="s">
        <v>1063</v>
      </c>
      <c r="K347" s="10">
        <v>1</v>
      </c>
      <c r="L347" s="5"/>
    </row>
    <row r="348" spans="1:12" hidden="1">
      <c r="A348" s="4"/>
      <c r="B348" s="4" t="s">
        <v>583</v>
      </c>
      <c r="C348" s="10" t="s">
        <v>1060</v>
      </c>
      <c r="D348" s="10" t="s">
        <v>1103</v>
      </c>
      <c r="E348" s="4"/>
      <c r="F348" s="10" t="s">
        <v>1104</v>
      </c>
      <c r="G348" s="19"/>
      <c r="H348" s="19"/>
      <c r="I348" s="20">
        <f t="shared" si="6"/>
        <v>0</v>
      </c>
      <c r="J348" s="10" t="s">
        <v>1063</v>
      </c>
      <c r="K348" s="10">
        <v>1</v>
      </c>
      <c r="L348" s="5"/>
    </row>
    <row r="349" spans="1:12" hidden="1">
      <c r="A349" s="4"/>
      <c r="B349" s="4" t="s">
        <v>583</v>
      </c>
      <c r="C349" s="10" t="s">
        <v>1060</v>
      </c>
      <c r="D349" s="10" t="s">
        <v>1105</v>
      </c>
      <c r="E349" s="4"/>
      <c r="F349" s="10" t="s">
        <v>1106</v>
      </c>
      <c r="G349" s="19"/>
      <c r="H349" s="19"/>
      <c r="I349" s="20">
        <f t="shared" si="6"/>
        <v>0</v>
      </c>
      <c r="J349" s="10" t="s">
        <v>1063</v>
      </c>
      <c r="K349" s="10">
        <v>1</v>
      </c>
      <c r="L349" s="5"/>
    </row>
    <row r="350" spans="1:12" hidden="1">
      <c r="A350" s="4"/>
      <c r="B350" s="4" t="s">
        <v>583</v>
      </c>
      <c r="C350" s="10" t="s">
        <v>1060</v>
      </c>
      <c r="D350" s="10" t="s">
        <v>1107</v>
      </c>
      <c r="E350" s="4"/>
      <c r="F350" s="26" t="s">
        <v>1108</v>
      </c>
      <c r="G350" s="19"/>
      <c r="H350" s="19"/>
      <c r="I350" s="20">
        <f t="shared" si="6"/>
        <v>0</v>
      </c>
      <c r="J350" s="10" t="s">
        <v>1063</v>
      </c>
      <c r="K350" s="10">
        <v>1</v>
      </c>
      <c r="L350" s="5"/>
    </row>
    <row r="351" spans="1:12" hidden="1">
      <c r="A351" s="4"/>
      <c r="B351" s="4" t="s">
        <v>583</v>
      </c>
      <c r="C351" s="10" t="s">
        <v>1060</v>
      </c>
      <c r="D351" s="10" t="s">
        <v>1109</v>
      </c>
      <c r="E351" s="4"/>
      <c r="F351" s="10" t="s">
        <v>1110</v>
      </c>
      <c r="G351" s="10"/>
      <c r="H351" s="10"/>
      <c r="I351" s="20">
        <f t="shared" si="6"/>
        <v>0</v>
      </c>
      <c r="J351" s="10" t="s">
        <v>1063</v>
      </c>
      <c r="K351" s="10">
        <v>1</v>
      </c>
      <c r="L351" s="4"/>
    </row>
    <row r="352" spans="1:12" hidden="1">
      <c r="A352" s="4"/>
      <c r="B352" s="4" t="s">
        <v>583</v>
      </c>
      <c r="C352" s="10" t="s">
        <v>1060</v>
      </c>
      <c r="D352" s="10" t="s">
        <v>1109</v>
      </c>
      <c r="E352" s="4"/>
      <c r="F352" s="10" t="s">
        <v>1111</v>
      </c>
      <c r="G352" s="10"/>
      <c r="H352" s="10"/>
      <c r="I352" s="20">
        <f t="shared" si="6"/>
        <v>0</v>
      </c>
      <c r="J352" s="10" t="s">
        <v>1063</v>
      </c>
      <c r="K352" s="10">
        <v>1</v>
      </c>
      <c r="L352" s="4"/>
    </row>
    <row r="353" spans="1:12" hidden="1">
      <c r="A353" s="4"/>
      <c r="B353" s="4" t="s">
        <v>583</v>
      </c>
      <c r="C353" s="10" t="s">
        <v>1060</v>
      </c>
      <c r="D353" s="10" t="s">
        <v>1112</v>
      </c>
      <c r="E353" s="4"/>
      <c r="F353" s="10" t="s">
        <v>1113</v>
      </c>
      <c r="G353" s="10"/>
      <c r="H353" s="10"/>
      <c r="I353" s="20">
        <f t="shared" si="6"/>
        <v>0</v>
      </c>
      <c r="J353" s="10" t="s">
        <v>1063</v>
      </c>
      <c r="K353" s="10">
        <v>1</v>
      </c>
      <c r="L353" s="4"/>
    </row>
    <row r="354" spans="1:12" hidden="1">
      <c r="A354" s="4"/>
      <c r="B354" s="4" t="s">
        <v>583</v>
      </c>
      <c r="C354" s="10" t="s">
        <v>1060</v>
      </c>
      <c r="D354" s="10" t="s">
        <v>1061</v>
      </c>
      <c r="E354" s="4"/>
      <c r="F354" s="26" t="s">
        <v>1114</v>
      </c>
      <c r="G354" s="19"/>
      <c r="H354" s="19"/>
      <c r="I354" s="20">
        <f t="shared" si="6"/>
        <v>0</v>
      </c>
      <c r="J354" s="10" t="s">
        <v>1063</v>
      </c>
      <c r="K354" s="10">
        <v>1</v>
      </c>
      <c r="L354" s="5"/>
    </row>
    <row r="355" spans="1:12" hidden="1">
      <c r="A355" s="4"/>
      <c r="B355" s="4" t="s">
        <v>583</v>
      </c>
      <c r="C355" s="10" t="s">
        <v>1060</v>
      </c>
      <c r="D355" s="10" t="s">
        <v>1065</v>
      </c>
      <c r="E355" s="4"/>
      <c r="F355" s="26" t="s">
        <v>1115</v>
      </c>
      <c r="G355" s="19"/>
      <c r="H355" s="19"/>
      <c r="I355" s="20">
        <f t="shared" si="6"/>
        <v>0</v>
      </c>
      <c r="J355" s="10" t="s">
        <v>1063</v>
      </c>
      <c r="K355" s="10">
        <v>1</v>
      </c>
      <c r="L355" s="5"/>
    </row>
    <row r="356" spans="1:12" hidden="1">
      <c r="A356" s="4"/>
      <c r="B356" s="4" t="s">
        <v>583</v>
      </c>
      <c r="C356" s="10" t="s">
        <v>1060</v>
      </c>
      <c r="D356" s="10" t="s">
        <v>1067</v>
      </c>
      <c r="E356" s="4"/>
      <c r="F356" s="26" t="s">
        <v>1116</v>
      </c>
      <c r="G356" s="19"/>
      <c r="H356" s="19"/>
      <c r="I356" s="20">
        <f t="shared" si="6"/>
        <v>0</v>
      </c>
      <c r="J356" s="10" t="s">
        <v>1063</v>
      </c>
      <c r="K356" s="10">
        <v>1</v>
      </c>
      <c r="L356" s="5"/>
    </row>
    <row r="357" spans="1:12" hidden="1">
      <c r="A357" s="4"/>
      <c r="B357" s="4" t="s">
        <v>583</v>
      </c>
      <c r="C357" s="10" t="s">
        <v>1060</v>
      </c>
      <c r="D357" s="10" t="s">
        <v>1069</v>
      </c>
      <c r="E357" s="4"/>
      <c r="F357" s="26" t="s">
        <v>1117</v>
      </c>
      <c r="G357" s="19"/>
      <c r="H357" s="19"/>
      <c r="I357" s="20">
        <f t="shared" si="6"/>
        <v>0</v>
      </c>
      <c r="J357" s="10" t="s">
        <v>1063</v>
      </c>
      <c r="K357" s="10">
        <v>1</v>
      </c>
      <c r="L357" s="5"/>
    </row>
    <row r="358" spans="1:12" hidden="1">
      <c r="A358" s="4"/>
      <c r="B358" s="4" t="s">
        <v>583</v>
      </c>
      <c r="C358" s="10" t="s">
        <v>1060</v>
      </c>
      <c r="D358" s="10" t="s">
        <v>1071</v>
      </c>
      <c r="E358" s="4"/>
      <c r="F358" s="26" t="s">
        <v>1118</v>
      </c>
      <c r="G358" s="19"/>
      <c r="H358" s="19"/>
      <c r="I358" s="20">
        <f t="shared" si="6"/>
        <v>0</v>
      </c>
      <c r="J358" s="10" t="s">
        <v>1063</v>
      </c>
      <c r="K358" s="10">
        <v>1</v>
      </c>
      <c r="L358" s="5"/>
    </row>
    <row r="359" spans="1:12" hidden="1">
      <c r="A359" s="4"/>
      <c r="B359" s="4" t="s">
        <v>583</v>
      </c>
      <c r="C359" s="10" t="s">
        <v>1060</v>
      </c>
      <c r="D359" s="10" t="s">
        <v>1075</v>
      </c>
      <c r="E359" s="4"/>
      <c r="F359" s="10" t="s">
        <v>1119</v>
      </c>
      <c r="G359" s="19"/>
      <c r="H359" s="19"/>
      <c r="I359" s="20">
        <f t="shared" si="6"/>
        <v>0</v>
      </c>
      <c r="J359" s="10" t="s">
        <v>1063</v>
      </c>
      <c r="K359" s="10">
        <v>1</v>
      </c>
      <c r="L359" s="5"/>
    </row>
    <row r="360" spans="1:12" hidden="1">
      <c r="A360" s="4"/>
      <c r="B360" s="4" t="s">
        <v>583</v>
      </c>
      <c r="C360" s="10" t="s">
        <v>1060</v>
      </c>
      <c r="D360" s="10" t="s">
        <v>1077</v>
      </c>
      <c r="E360" s="4"/>
      <c r="F360" s="26" t="s">
        <v>1120</v>
      </c>
      <c r="G360" s="19"/>
      <c r="H360" s="19"/>
      <c r="I360" s="20">
        <f t="shared" si="6"/>
        <v>0</v>
      </c>
      <c r="J360" s="10" t="s">
        <v>1063</v>
      </c>
      <c r="K360" s="10">
        <v>1</v>
      </c>
      <c r="L360" s="5"/>
    </row>
    <row r="361" spans="1:12" hidden="1">
      <c r="A361" s="4"/>
      <c r="B361" s="4" t="s">
        <v>583</v>
      </c>
      <c r="C361" s="10" t="s">
        <v>1060</v>
      </c>
      <c r="D361" s="10" t="s">
        <v>1077</v>
      </c>
      <c r="E361" s="4"/>
      <c r="F361" s="26" t="s">
        <v>1121</v>
      </c>
      <c r="G361" s="19"/>
      <c r="H361" s="19"/>
      <c r="I361" s="20">
        <f t="shared" si="6"/>
        <v>0</v>
      </c>
      <c r="J361" s="10" t="s">
        <v>1063</v>
      </c>
      <c r="K361" s="10">
        <v>1</v>
      </c>
      <c r="L361" s="5"/>
    </row>
    <row r="362" spans="1:12" hidden="1">
      <c r="A362" s="4"/>
      <c r="B362" s="4" t="s">
        <v>583</v>
      </c>
      <c r="C362" s="10" t="s">
        <v>1060</v>
      </c>
      <c r="D362" s="10" t="s">
        <v>1122</v>
      </c>
      <c r="E362" s="4"/>
      <c r="F362" s="10" t="s">
        <v>1123</v>
      </c>
      <c r="G362" s="19"/>
      <c r="H362" s="19"/>
      <c r="I362" s="20">
        <f t="shared" si="6"/>
        <v>0</v>
      </c>
      <c r="J362" s="10" t="s">
        <v>1063</v>
      </c>
      <c r="K362" s="10">
        <v>1</v>
      </c>
      <c r="L362" s="5"/>
    </row>
    <row r="363" spans="1:12" hidden="1">
      <c r="A363" s="4"/>
      <c r="B363" s="4" t="s">
        <v>583</v>
      </c>
      <c r="C363" s="10" t="s">
        <v>1060</v>
      </c>
      <c r="D363" s="10" t="s">
        <v>1080</v>
      </c>
      <c r="E363" s="4"/>
      <c r="F363" s="26" t="s">
        <v>1124</v>
      </c>
      <c r="G363" s="19"/>
      <c r="H363" s="19"/>
      <c r="I363" s="20">
        <f t="shared" si="6"/>
        <v>0</v>
      </c>
      <c r="J363" s="10" t="s">
        <v>1063</v>
      </c>
      <c r="K363" s="10">
        <v>1</v>
      </c>
      <c r="L363" s="5"/>
    </row>
    <row r="364" spans="1:12" hidden="1">
      <c r="A364" s="4"/>
      <c r="B364" s="4" t="s">
        <v>583</v>
      </c>
      <c r="C364" s="10" t="s">
        <v>1060</v>
      </c>
      <c r="D364" s="10" t="s">
        <v>1061</v>
      </c>
      <c r="E364" s="4"/>
      <c r="F364" s="26" t="s">
        <v>1125</v>
      </c>
      <c r="G364" s="19"/>
      <c r="H364" s="19"/>
      <c r="I364" s="20">
        <f t="shared" si="6"/>
        <v>0</v>
      </c>
      <c r="J364" s="10" t="s">
        <v>1063</v>
      </c>
      <c r="K364" s="10">
        <v>1</v>
      </c>
      <c r="L364" s="5"/>
    </row>
    <row r="365" spans="1:12" hidden="1">
      <c r="A365" s="4"/>
      <c r="B365" s="4" t="s">
        <v>583</v>
      </c>
      <c r="C365" s="10" t="s">
        <v>1060</v>
      </c>
      <c r="D365" s="10" t="s">
        <v>1061</v>
      </c>
      <c r="E365" s="4"/>
      <c r="F365" s="26" t="s">
        <v>1126</v>
      </c>
      <c r="G365" s="19"/>
      <c r="H365" s="19"/>
      <c r="I365" s="20">
        <f t="shared" si="6"/>
        <v>0</v>
      </c>
      <c r="J365" s="10" t="s">
        <v>1063</v>
      </c>
      <c r="K365" s="10">
        <v>1</v>
      </c>
      <c r="L365" s="5"/>
    </row>
    <row r="366" spans="1:12" hidden="1">
      <c r="A366" s="4"/>
      <c r="B366" s="4" t="s">
        <v>583</v>
      </c>
      <c r="C366" s="10" t="s">
        <v>1060</v>
      </c>
      <c r="D366" s="10" t="s">
        <v>1083</v>
      </c>
      <c r="E366" s="4"/>
      <c r="F366" s="26" t="s">
        <v>1127</v>
      </c>
      <c r="G366" s="19"/>
      <c r="H366" s="19"/>
      <c r="I366" s="20">
        <f t="shared" si="6"/>
        <v>0</v>
      </c>
      <c r="J366" s="10" t="s">
        <v>1063</v>
      </c>
      <c r="K366" s="10">
        <v>1</v>
      </c>
      <c r="L366" s="5"/>
    </row>
    <row r="367" spans="1:12" hidden="1">
      <c r="A367" s="4"/>
      <c r="B367" s="4" t="s">
        <v>583</v>
      </c>
      <c r="C367" s="10" t="s">
        <v>1060</v>
      </c>
      <c r="D367" s="10" t="s">
        <v>1085</v>
      </c>
      <c r="E367" s="4"/>
      <c r="F367" s="26" t="s">
        <v>1128</v>
      </c>
      <c r="G367" s="19"/>
      <c r="H367" s="19"/>
      <c r="I367" s="20">
        <f t="shared" si="6"/>
        <v>0</v>
      </c>
      <c r="J367" s="10" t="s">
        <v>1063</v>
      </c>
      <c r="K367" s="10">
        <v>1</v>
      </c>
      <c r="L367" s="5"/>
    </row>
    <row r="368" spans="1:12" hidden="1">
      <c r="A368" s="4"/>
      <c r="B368" s="4" t="s">
        <v>583</v>
      </c>
      <c r="C368" s="10" t="s">
        <v>1060</v>
      </c>
      <c r="D368" s="10" t="s">
        <v>1065</v>
      </c>
      <c r="E368" s="4"/>
      <c r="F368" s="26" t="s">
        <v>1129</v>
      </c>
      <c r="G368" s="19"/>
      <c r="H368" s="19"/>
      <c r="I368" s="20">
        <f t="shared" si="6"/>
        <v>0</v>
      </c>
      <c r="J368" s="10" t="s">
        <v>1063</v>
      </c>
      <c r="K368" s="10">
        <v>1</v>
      </c>
      <c r="L368" s="5"/>
    </row>
    <row r="369" spans="1:12" hidden="1">
      <c r="A369" s="4"/>
      <c r="B369" s="4" t="s">
        <v>583</v>
      </c>
      <c r="C369" s="10" t="s">
        <v>1060</v>
      </c>
      <c r="D369" s="10" t="s">
        <v>1109</v>
      </c>
      <c r="E369" s="4"/>
      <c r="F369" s="10" t="s">
        <v>1130</v>
      </c>
      <c r="G369" s="10"/>
      <c r="H369" s="10"/>
      <c r="I369" s="20">
        <f t="shared" si="6"/>
        <v>0</v>
      </c>
      <c r="J369" s="10" t="s">
        <v>1063</v>
      </c>
      <c r="K369" s="10">
        <v>1</v>
      </c>
      <c r="L369" s="4"/>
    </row>
    <row r="370" spans="1:12" hidden="1">
      <c r="A370" s="4"/>
      <c r="B370" s="4" t="s">
        <v>583</v>
      </c>
      <c r="C370" s="10" t="s">
        <v>1060</v>
      </c>
      <c r="D370" s="10" t="s">
        <v>1109</v>
      </c>
      <c r="E370" s="4"/>
      <c r="F370" s="10" t="s">
        <v>1131</v>
      </c>
      <c r="G370" s="10"/>
      <c r="H370" s="10"/>
      <c r="I370" s="20">
        <f t="shared" si="6"/>
        <v>0</v>
      </c>
      <c r="J370" s="10" t="s">
        <v>1063</v>
      </c>
      <c r="K370" s="10">
        <v>1</v>
      </c>
      <c r="L370" s="4"/>
    </row>
    <row r="371" spans="1:12" hidden="1">
      <c r="A371" s="4"/>
      <c r="B371" s="4" t="s">
        <v>583</v>
      </c>
      <c r="C371" s="10" t="s">
        <v>1060</v>
      </c>
      <c r="D371" s="10" t="s">
        <v>1088</v>
      </c>
      <c r="E371" s="4"/>
      <c r="F371" s="10" t="s">
        <v>1132</v>
      </c>
      <c r="G371" s="19"/>
      <c r="H371" s="19"/>
      <c r="I371" s="20">
        <f t="shared" si="6"/>
        <v>0</v>
      </c>
      <c r="J371" s="10" t="s">
        <v>1063</v>
      </c>
      <c r="K371" s="10">
        <v>1</v>
      </c>
      <c r="L371" s="5"/>
    </row>
    <row r="372" spans="1:12" hidden="1">
      <c r="A372" s="4"/>
      <c r="B372" s="4" t="s">
        <v>583</v>
      </c>
      <c r="C372" s="10" t="s">
        <v>1060</v>
      </c>
      <c r="D372" s="10" t="s">
        <v>1069</v>
      </c>
      <c r="E372" s="4"/>
      <c r="F372" s="10" t="s">
        <v>1133</v>
      </c>
      <c r="G372" s="19"/>
      <c r="H372" s="19"/>
      <c r="I372" s="20">
        <f t="shared" si="6"/>
        <v>0</v>
      </c>
      <c r="J372" s="10" t="s">
        <v>1063</v>
      </c>
      <c r="K372" s="10">
        <v>1</v>
      </c>
      <c r="L372" s="5"/>
    </row>
    <row r="373" spans="1:12" hidden="1">
      <c r="A373" s="4"/>
      <c r="B373" s="4" t="s">
        <v>583</v>
      </c>
      <c r="C373" s="10" t="s">
        <v>1060</v>
      </c>
      <c r="D373" s="10" t="s">
        <v>1069</v>
      </c>
      <c r="E373" s="4"/>
      <c r="F373" s="10" t="s">
        <v>1134</v>
      </c>
      <c r="G373" s="19"/>
      <c r="H373" s="19"/>
      <c r="I373" s="20">
        <f t="shared" si="6"/>
        <v>0</v>
      </c>
      <c r="J373" s="10" t="s">
        <v>1063</v>
      </c>
      <c r="K373" s="10">
        <v>1</v>
      </c>
      <c r="L373" s="5"/>
    </row>
    <row r="374" spans="1:12" hidden="1">
      <c r="A374" s="4"/>
      <c r="B374" s="4" t="s">
        <v>583</v>
      </c>
      <c r="C374" s="10" t="s">
        <v>1060</v>
      </c>
      <c r="D374" s="10" t="s">
        <v>1112</v>
      </c>
      <c r="E374" s="4"/>
      <c r="F374" s="10" t="s">
        <v>1135</v>
      </c>
      <c r="G374" s="10"/>
      <c r="H374" s="10"/>
      <c r="I374" s="20">
        <f t="shared" si="6"/>
        <v>0</v>
      </c>
      <c r="J374" s="10" t="s">
        <v>1063</v>
      </c>
      <c r="K374" s="10">
        <v>1</v>
      </c>
      <c r="L374" s="4"/>
    </row>
    <row r="375" spans="1:12" hidden="1">
      <c r="A375" s="4"/>
      <c r="B375" s="4" t="s">
        <v>583</v>
      </c>
      <c r="C375" s="10" t="s">
        <v>1060</v>
      </c>
      <c r="D375" s="10" t="s">
        <v>1071</v>
      </c>
      <c r="E375" s="4"/>
      <c r="F375" s="26" t="s">
        <v>1136</v>
      </c>
      <c r="G375" s="19"/>
      <c r="H375" s="19"/>
      <c r="I375" s="20">
        <f t="shared" si="6"/>
        <v>0</v>
      </c>
      <c r="J375" s="10" t="s">
        <v>1063</v>
      </c>
      <c r="K375" s="10">
        <v>1</v>
      </c>
      <c r="L375" s="5"/>
    </row>
    <row r="376" spans="1:12" hidden="1">
      <c r="A376" s="4"/>
      <c r="B376" s="4" t="s">
        <v>583</v>
      </c>
      <c r="C376" s="10" t="s">
        <v>1060</v>
      </c>
      <c r="D376" s="10" t="s">
        <v>1093</v>
      </c>
      <c r="E376" s="4"/>
      <c r="F376" s="26" t="s">
        <v>1137</v>
      </c>
      <c r="G376" s="19"/>
      <c r="H376" s="19"/>
      <c r="I376" s="20">
        <f t="shared" si="6"/>
        <v>0</v>
      </c>
      <c r="J376" s="10" t="s">
        <v>1063</v>
      </c>
      <c r="K376" s="10">
        <v>1</v>
      </c>
      <c r="L376" s="5"/>
    </row>
    <row r="377" spans="1:12" hidden="1">
      <c r="A377" s="4"/>
      <c r="B377" s="4" t="s">
        <v>583</v>
      </c>
      <c r="C377" s="10" t="s">
        <v>1060</v>
      </c>
      <c r="D377" s="10" t="s">
        <v>1073</v>
      </c>
      <c r="E377" s="4"/>
      <c r="F377" s="10" t="s">
        <v>1138</v>
      </c>
      <c r="G377" s="19"/>
      <c r="H377" s="19"/>
      <c r="I377" s="20">
        <f t="shared" si="6"/>
        <v>0</v>
      </c>
      <c r="J377" s="10" t="s">
        <v>1063</v>
      </c>
      <c r="K377" s="10">
        <v>1</v>
      </c>
      <c r="L377" s="5"/>
    </row>
    <row r="378" spans="1:12" hidden="1">
      <c r="A378" s="4"/>
      <c r="B378" s="4" t="s">
        <v>583</v>
      </c>
      <c r="C378" s="10" t="s">
        <v>1060</v>
      </c>
      <c r="D378" s="10" t="s">
        <v>1097</v>
      </c>
      <c r="E378" s="4"/>
      <c r="F378" s="26" t="s">
        <v>1139</v>
      </c>
      <c r="G378" s="19"/>
      <c r="H378" s="19"/>
      <c r="I378" s="20">
        <f t="shared" si="6"/>
        <v>0</v>
      </c>
      <c r="J378" s="10" t="s">
        <v>1063</v>
      </c>
      <c r="K378" s="10">
        <v>1</v>
      </c>
      <c r="L378" s="5"/>
    </row>
    <row r="379" spans="1:12" hidden="1">
      <c r="A379" s="4"/>
      <c r="B379" s="4" t="s">
        <v>583</v>
      </c>
      <c r="C379" s="10" t="s">
        <v>1060</v>
      </c>
      <c r="D379" s="10" t="s">
        <v>1099</v>
      </c>
      <c r="E379" s="4"/>
      <c r="F379" s="26" t="s">
        <v>1140</v>
      </c>
      <c r="G379" s="19"/>
      <c r="H379" s="19"/>
      <c r="I379" s="20">
        <f t="shared" si="6"/>
        <v>0</v>
      </c>
      <c r="J379" s="10" t="s">
        <v>1063</v>
      </c>
      <c r="K379" s="10">
        <v>1</v>
      </c>
      <c r="L379" s="5"/>
    </row>
    <row r="380" spans="1:12" hidden="1">
      <c r="A380" s="4"/>
      <c r="B380" s="4" t="s">
        <v>583</v>
      </c>
      <c r="C380" s="10" t="s">
        <v>1060</v>
      </c>
      <c r="D380" s="10" t="s">
        <v>1101</v>
      </c>
      <c r="E380" s="4"/>
      <c r="F380" s="26" t="s">
        <v>1141</v>
      </c>
      <c r="G380" s="19"/>
      <c r="H380" s="19"/>
      <c r="I380" s="20">
        <f t="shared" si="6"/>
        <v>0</v>
      </c>
      <c r="J380" s="10" t="s">
        <v>1063</v>
      </c>
      <c r="K380" s="10">
        <v>1</v>
      </c>
      <c r="L380" s="5"/>
    </row>
    <row r="381" spans="1:12" hidden="1">
      <c r="A381" s="4"/>
      <c r="B381" s="4" t="s">
        <v>583</v>
      </c>
      <c r="C381" s="10" t="s">
        <v>1060</v>
      </c>
      <c r="D381" s="10" t="s">
        <v>1103</v>
      </c>
      <c r="E381" s="4"/>
      <c r="F381" s="10" t="s">
        <v>1142</v>
      </c>
      <c r="G381" s="19"/>
      <c r="H381" s="19"/>
      <c r="I381" s="20">
        <f t="shared" si="6"/>
        <v>0</v>
      </c>
      <c r="J381" s="10" t="s">
        <v>1063</v>
      </c>
      <c r="K381" s="10">
        <v>1</v>
      </c>
      <c r="L381" s="5"/>
    </row>
    <row r="382" spans="1:12" hidden="1">
      <c r="A382" s="4"/>
      <c r="B382" s="4" t="s">
        <v>583</v>
      </c>
      <c r="C382" s="10" t="s">
        <v>1060</v>
      </c>
      <c r="D382" s="10" t="s">
        <v>1105</v>
      </c>
      <c r="E382" s="4"/>
      <c r="F382" s="10" t="s">
        <v>1143</v>
      </c>
      <c r="G382" s="19"/>
      <c r="H382" s="19"/>
      <c r="I382" s="20">
        <f t="shared" si="6"/>
        <v>0</v>
      </c>
      <c r="J382" s="10" t="s">
        <v>1063</v>
      </c>
      <c r="K382" s="10">
        <v>1</v>
      </c>
      <c r="L382" s="5"/>
    </row>
    <row r="383" spans="1:12" hidden="1">
      <c r="A383" s="4"/>
      <c r="B383" s="4" t="s">
        <v>583</v>
      </c>
      <c r="C383" s="10" t="s">
        <v>1060</v>
      </c>
      <c r="D383" s="10" t="s">
        <v>1107</v>
      </c>
      <c r="E383" s="4"/>
      <c r="F383" s="26" t="s">
        <v>1144</v>
      </c>
      <c r="G383" s="19"/>
      <c r="H383" s="19"/>
      <c r="I383" s="20">
        <f t="shared" si="6"/>
        <v>0</v>
      </c>
      <c r="J383" s="10" t="s">
        <v>1063</v>
      </c>
      <c r="K383" s="10">
        <v>1</v>
      </c>
      <c r="L383" s="5"/>
    </row>
    <row r="384" spans="1:12" hidden="1">
      <c r="A384" s="4"/>
      <c r="B384" s="4" t="s">
        <v>583</v>
      </c>
      <c r="C384" s="10" t="s">
        <v>1060</v>
      </c>
      <c r="D384" s="10" t="s">
        <v>1065</v>
      </c>
      <c r="E384" s="4"/>
      <c r="F384" s="26" t="s">
        <v>1145</v>
      </c>
      <c r="G384" s="19"/>
      <c r="H384" s="19"/>
      <c r="I384" s="20">
        <f t="shared" si="6"/>
        <v>0</v>
      </c>
      <c r="J384" s="10" t="s">
        <v>1063</v>
      </c>
      <c r="K384" s="10">
        <v>1</v>
      </c>
      <c r="L384" s="5"/>
    </row>
    <row r="385" spans="1:12" hidden="1">
      <c r="A385" s="4"/>
      <c r="B385" s="4" t="s">
        <v>583</v>
      </c>
      <c r="C385" s="10" t="s">
        <v>1060</v>
      </c>
      <c r="D385" s="10" t="s">
        <v>1109</v>
      </c>
      <c r="E385" s="4"/>
      <c r="F385" s="10" t="s">
        <v>1146</v>
      </c>
      <c r="G385" s="10"/>
      <c r="H385" s="10"/>
      <c r="I385" s="20">
        <f t="shared" si="6"/>
        <v>0</v>
      </c>
      <c r="J385" s="10" t="s">
        <v>1147</v>
      </c>
      <c r="K385" s="10">
        <v>1000</v>
      </c>
      <c r="L385" s="4"/>
    </row>
    <row r="386" spans="1:12" hidden="1">
      <c r="A386" s="4"/>
      <c r="B386" s="4" t="s">
        <v>583</v>
      </c>
      <c r="C386" s="10" t="s">
        <v>1060</v>
      </c>
      <c r="D386" s="10" t="s">
        <v>1105</v>
      </c>
      <c r="E386" s="4"/>
      <c r="F386" s="10" t="s">
        <v>1148</v>
      </c>
      <c r="G386" s="19"/>
      <c r="H386" s="19"/>
      <c r="I386" s="20">
        <f t="shared" si="6"/>
        <v>0</v>
      </c>
      <c r="J386" s="10" t="s">
        <v>1147</v>
      </c>
      <c r="K386" s="10">
        <v>1000</v>
      </c>
      <c r="L386" s="5"/>
    </row>
    <row r="387" spans="1:12" hidden="1">
      <c r="A387" s="4"/>
      <c r="B387" s="4" t="s">
        <v>583</v>
      </c>
      <c r="C387" s="10" t="s">
        <v>1060</v>
      </c>
      <c r="D387" s="10" t="s">
        <v>1083</v>
      </c>
      <c r="E387" s="4"/>
      <c r="F387" s="26" t="s">
        <v>1149</v>
      </c>
      <c r="G387" s="19"/>
      <c r="H387" s="19"/>
      <c r="I387" s="20">
        <f t="shared" si="6"/>
        <v>0</v>
      </c>
      <c r="J387" s="10" t="s">
        <v>1063</v>
      </c>
      <c r="K387" s="10">
        <v>1</v>
      </c>
      <c r="L387" s="5"/>
    </row>
    <row r="388" spans="1:12" hidden="1">
      <c r="A388" s="4"/>
      <c r="B388" s="4" t="s">
        <v>583</v>
      </c>
      <c r="C388" s="10" t="s">
        <v>1060</v>
      </c>
      <c r="D388" s="10" t="s">
        <v>1109</v>
      </c>
      <c r="E388" s="4"/>
      <c r="F388" s="10" t="s">
        <v>1150</v>
      </c>
      <c r="G388" s="10"/>
      <c r="H388" s="10"/>
      <c r="I388" s="20">
        <f t="shared" si="6"/>
        <v>0</v>
      </c>
      <c r="J388" s="10" t="s">
        <v>1063</v>
      </c>
      <c r="K388" s="10">
        <v>1</v>
      </c>
      <c r="L388" s="4"/>
    </row>
    <row r="389" spans="1:12" hidden="1">
      <c r="A389" s="4"/>
      <c r="B389" s="4" t="s">
        <v>583</v>
      </c>
      <c r="C389" s="10" t="s">
        <v>1060</v>
      </c>
      <c r="D389" s="10" t="s">
        <v>1109</v>
      </c>
      <c r="E389" s="4"/>
      <c r="F389" s="10" t="s">
        <v>1151</v>
      </c>
      <c r="G389" s="10"/>
      <c r="H389" s="10"/>
      <c r="I389" s="20">
        <f t="shared" si="6"/>
        <v>0</v>
      </c>
      <c r="J389" s="10" t="s">
        <v>1063</v>
      </c>
      <c r="K389" s="10">
        <v>1</v>
      </c>
      <c r="L389" s="4"/>
    </row>
    <row r="390" spans="1:12" hidden="1">
      <c r="A390" s="4"/>
      <c r="B390" s="4" t="s">
        <v>583</v>
      </c>
      <c r="C390" s="10" t="s">
        <v>1060</v>
      </c>
      <c r="D390" s="10" t="s">
        <v>1083</v>
      </c>
      <c r="E390" s="4"/>
      <c r="F390" s="26" t="s">
        <v>1152</v>
      </c>
      <c r="G390" s="19"/>
      <c r="H390" s="19"/>
      <c r="I390" s="20">
        <f t="shared" si="6"/>
        <v>0</v>
      </c>
      <c r="J390" s="10" t="s">
        <v>1063</v>
      </c>
      <c r="K390" s="10">
        <v>1</v>
      </c>
      <c r="L390" s="5"/>
    </row>
    <row r="391" spans="1:12" hidden="1">
      <c r="A391" s="4"/>
      <c r="B391" s="4" t="s">
        <v>583</v>
      </c>
      <c r="C391" s="10" t="s">
        <v>1060</v>
      </c>
      <c r="D391" s="10" t="s">
        <v>1109</v>
      </c>
      <c r="E391" s="4"/>
      <c r="F391" s="10" t="s">
        <v>1153</v>
      </c>
      <c r="G391" s="10"/>
      <c r="H391" s="10"/>
      <c r="I391" s="20">
        <f t="shared" si="6"/>
        <v>0</v>
      </c>
      <c r="J391" s="10" t="s">
        <v>1063</v>
      </c>
      <c r="K391" s="10">
        <v>1</v>
      </c>
      <c r="L391" s="4"/>
    </row>
    <row r="392" spans="1:12" hidden="1">
      <c r="A392" s="4"/>
      <c r="B392" s="4" t="s">
        <v>583</v>
      </c>
      <c r="C392" s="10" t="s">
        <v>1060</v>
      </c>
      <c r="D392" s="10" t="s">
        <v>1109</v>
      </c>
      <c r="E392" s="4"/>
      <c r="F392" s="10" t="s">
        <v>1154</v>
      </c>
      <c r="G392" s="10"/>
      <c r="H392" s="10"/>
      <c r="I392" s="20">
        <f t="shared" si="6"/>
        <v>0</v>
      </c>
      <c r="J392" s="10" t="s">
        <v>1063</v>
      </c>
      <c r="K392" s="10">
        <v>1</v>
      </c>
      <c r="L392" s="4"/>
    </row>
    <row r="393" spans="1:12" hidden="1">
      <c r="A393" s="4"/>
      <c r="B393" s="4" t="s">
        <v>583</v>
      </c>
      <c r="C393" s="10" t="s">
        <v>1060</v>
      </c>
      <c r="D393" s="10" t="s">
        <v>1109</v>
      </c>
      <c r="E393" s="4"/>
      <c r="F393" s="10" t="s">
        <v>1155</v>
      </c>
      <c r="G393" s="10"/>
      <c r="H393" s="10"/>
      <c r="I393" s="20">
        <f t="shared" si="6"/>
        <v>0</v>
      </c>
      <c r="J393" s="10" t="s">
        <v>1063</v>
      </c>
      <c r="K393" s="10">
        <v>1</v>
      </c>
      <c r="L393" s="4"/>
    </row>
    <row r="394" spans="1:12" hidden="1">
      <c r="A394" s="4"/>
      <c r="B394" s="4" t="s">
        <v>583</v>
      </c>
      <c r="C394" s="10" t="s">
        <v>1060</v>
      </c>
      <c r="D394" s="10" t="s">
        <v>1105</v>
      </c>
      <c r="E394" s="4"/>
      <c r="F394" s="10" t="s">
        <v>1156</v>
      </c>
      <c r="G394" s="19"/>
      <c r="H394" s="19"/>
      <c r="I394" s="20">
        <f t="shared" si="6"/>
        <v>0</v>
      </c>
      <c r="J394" s="10" t="s">
        <v>1063</v>
      </c>
      <c r="K394" s="10">
        <v>1</v>
      </c>
      <c r="L394" s="5"/>
    </row>
    <row r="395" spans="1:12" hidden="1">
      <c r="A395" s="4"/>
      <c r="B395" s="4" t="s">
        <v>583</v>
      </c>
      <c r="C395" s="10" t="s">
        <v>1060</v>
      </c>
      <c r="D395" s="10" t="s">
        <v>1080</v>
      </c>
      <c r="E395" s="4"/>
      <c r="F395" s="26" t="s">
        <v>1157</v>
      </c>
      <c r="G395" s="19"/>
      <c r="H395" s="19"/>
      <c r="I395" s="20">
        <f t="shared" si="6"/>
        <v>0</v>
      </c>
      <c r="J395" s="10" t="s">
        <v>1147</v>
      </c>
      <c r="K395" s="10">
        <v>1000</v>
      </c>
      <c r="L395" s="5"/>
    </row>
    <row r="396" spans="1:12" hidden="1">
      <c r="A396" s="4"/>
      <c r="B396" s="4" t="s">
        <v>583</v>
      </c>
      <c r="C396" s="10" t="s">
        <v>1060</v>
      </c>
      <c r="D396" s="10" t="s">
        <v>1061</v>
      </c>
      <c r="E396" s="4"/>
      <c r="F396" s="26" t="s">
        <v>1158</v>
      </c>
      <c r="G396" s="19"/>
      <c r="H396" s="19"/>
      <c r="I396" s="20">
        <f t="shared" ref="I396:I459" si="7">G396+H396</f>
        <v>0</v>
      </c>
      <c r="J396" s="10" t="s">
        <v>1147</v>
      </c>
      <c r="K396" s="10">
        <v>1000</v>
      </c>
      <c r="L396" s="5"/>
    </row>
    <row r="397" spans="1:12" hidden="1">
      <c r="A397" s="4"/>
      <c r="B397" s="4" t="s">
        <v>583</v>
      </c>
      <c r="C397" s="10" t="s">
        <v>1060</v>
      </c>
      <c r="D397" s="10" t="s">
        <v>1061</v>
      </c>
      <c r="E397" s="4"/>
      <c r="F397" s="26" t="s">
        <v>1159</v>
      </c>
      <c r="G397" s="19"/>
      <c r="H397" s="19"/>
      <c r="I397" s="20">
        <f t="shared" si="7"/>
        <v>0</v>
      </c>
      <c r="J397" s="10" t="s">
        <v>1147</v>
      </c>
      <c r="K397" s="10">
        <v>1000</v>
      </c>
      <c r="L397" s="5"/>
    </row>
    <row r="398" spans="1:12" hidden="1">
      <c r="A398" s="4"/>
      <c r="B398" s="4" t="s">
        <v>583</v>
      </c>
      <c r="C398" s="10" t="s">
        <v>1060</v>
      </c>
      <c r="D398" s="10" t="s">
        <v>1061</v>
      </c>
      <c r="E398" s="4"/>
      <c r="F398" s="10" t="s">
        <v>1160</v>
      </c>
      <c r="G398" s="19"/>
      <c r="H398" s="19"/>
      <c r="I398" s="20">
        <f t="shared" si="7"/>
        <v>0</v>
      </c>
      <c r="J398" s="10" t="s">
        <v>1063</v>
      </c>
      <c r="K398" s="10">
        <v>1</v>
      </c>
      <c r="L398" s="5"/>
    </row>
    <row r="399" spans="1:12" hidden="1">
      <c r="A399" s="4"/>
      <c r="B399" s="42" t="s">
        <v>1161</v>
      </c>
      <c r="C399" s="10" t="s">
        <v>122</v>
      </c>
      <c r="D399" s="10" t="s">
        <v>1162</v>
      </c>
      <c r="E399" s="4"/>
      <c r="F399" s="10" t="s">
        <v>1163</v>
      </c>
      <c r="G399" s="10"/>
      <c r="H399" s="10"/>
      <c r="I399" s="20">
        <f t="shared" si="7"/>
        <v>0</v>
      </c>
      <c r="J399" s="10" t="s">
        <v>640</v>
      </c>
      <c r="K399" s="10">
        <v>1</v>
      </c>
      <c r="L399" s="4"/>
    </row>
    <row r="400" spans="1:12" hidden="1">
      <c r="A400" s="4"/>
      <c r="B400" s="42" t="s">
        <v>1164</v>
      </c>
      <c r="C400" s="10" t="s">
        <v>122</v>
      </c>
      <c r="D400" s="10" t="s">
        <v>1165</v>
      </c>
      <c r="E400" s="4"/>
      <c r="F400" s="10" t="s">
        <v>1166</v>
      </c>
      <c r="G400" s="10"/>
      <c r="H400" s="10"/>
      <c r="I400" s="20">
        <f t="shared" si="7"/>
        <v>0</v>
      </c>
      <c r="J400" s="10" t="s">
        <v>593</v>
      </c>
      <c r="K400" s="10" t="s">
        <v>593</v>
      </c>
      <c r="L400" s="4"/>
    </row>
    <row r="401" spans="1:12" hidden="1">
      <c r="A401" s="4"/>
      <c r="B401" s="42" t="s">
        <v>1167</v>
      </c>
      <c r="C401" s="10" t="s">
        <v>122</v>
      </c>
      <c r="D401" s="10" t="s">
        <v>463</v>
      </c>
      <c r="E401" s="4"/>
      <c r="F401" s="10" t="s">
        <v>1168</v>
      </c>
      <c r="G401" s="10"/>
      <c r="H401" s="10"/>
      <c r="I401" s="20">
        <f t="shared" si="7"/>
        <v>0</v>
      </c>
      <c r="J401" s="10" t="s">
        <v>640</v>
      </c>
      <c r="K401" s="10">
        <v>1</v>
      </c>
      <c r="L401" s="4"/>
    </row>
    <row r="402" spans="1:12" hidden="1">
      <c r="A402" s="4"/>
      <c r="B402" s="42" t="s">
        <v>1169</v>
      </c>
      <c r="C402" s="10" t="s">
        <v>122</v>
      </c>
      <c r="D402" s="10" t="s">
        <v>1170</v>
      </c>
      <c r="E402" s="4"/>
      <c r="F402" s="10" t="s">
        <v>1171</v>
      </c>
      <c r="G402" s="10"/>
      <c r="H402" s="10"/>
      <c r="I402" s="20">
        <f t="shared" si="7"/>
        <v>0</v>
      </c>
      <c r="J402" s="10" t="s">
        <v>593</v>
      </c>
      <c r="K402" s="10" t="s">
        <v>593</v>
      </c>
      <c r="L402" s="4"/>
    </row>
    <row r="403" spans="1:12" hidden="1">
      <c r="A403" s="4"/>
      <c r="B403" s="42" t="s">
        <v>1172</v>
      </c>
      <c r="C403" s="10" t="s">
        <v>122</v>
      </c>
      <c r="D403" s="10" t="s">
        <v>463</v>
      </c>
      <c r="E403" s="4"/>
      <c r="F403" s="10" t="s">
        <v>1173</v>
      </c>
      <c r="G403" s="10"/>
      <c r="H403" s="10"/>
      <c r="I403" s="20">
        <f t="shared" si="7"/>
        <v>0</v>
      </c>
      <c r="J403" s="10" t="s">
        <v>640</v>
      </c>
      <c r="K403" s="10">
        <v>1</v>
      </c>
      <c r="L403" s="4"/>
    </row>
    <row r="404" spans="1:12" hidden="1">
      <c r="A404" s="4"/>
      <c r="B404" s="42" t="s">
        <v>1174</v>
      </c>
      <c r="C404" s="10" t="s">
        <v>122</v>
      </c>
      <c r="D404" s="10" t="s">
        <v>463</v>
      </c>
      <c r="E404" s="4"/>
      <c r="F404" s="10" t="s">
        <v>1175</v>
      </c>
      <c r="G404" s="10"/>
      <c r="H404" s="10"/>
      <c r="I404" s="20">
        <f t="shared" si="7"/>
        <v>0</v>
      </c>
      <c r="J404" s="10" t="s">
        <v>640</v>
      </c>
      <c r="K404" s="10">
        <v>1</v>
      </c>
      <c r="L404" s="4"/>
    </row>
    <row r="405" spans="1:12" hidden="1">
      <c r="A405" s="4"/>
      <c r="B405" s="42" t="s">
        <v>1176</v>
      </c>
      <c r="C405" s="10" t="s">
        <v>122</v>
      </c>
      <c r="D405" s="10" t="s">
        <v>503</v>
      </c>
      <c r="E405" s="4"/>
      <c r="F405" s="10" t="s">
        <v>504</v>
      </c>
      <c r="G405" s="10"/>
      <c r="H405" s="10"/>
      <c r="I405" s="20">
        <f t="shared" si="7"/>
        <v>0</v>
      </c>
      <c r="J405" s="10" t="s">
        <v>798</v>
      </c>
      <c r="K405" s="10">
        <v>1</v>
      </c>
      <c r="L405" s="4"/>
    </row>
    <row r="406" spans="1:12" hidden="1">
      <c r="A406" s="4"/>
      <c r="B406" s="42" t="s">
        <v>1177</v>
      </c>
      <c r="C406" s="10" t="s">
        <v>122</v>
      </c>
      <c r="D406" s="10" t="s">
        <v>1178</v>
      </c>
      <c r="E406" s="4"/>
      <c r="F406" s="10" t="s">
        <v>1179</v>
      </c>
      <c r="G406" s="10"/>
      <c r="H406" s="10"/>
      <c r="I406" s="20">
        <f t="shared" si="7"/>
        <v>0</v>
      </c>
      <c r="J406" s="10" t="s">
        <v>593</v>
      </c>
      <c r="K406" s="10" t="s">
        <v>593</v>
      </c>
      <c r="L406" s="4"/>
    </row>
    <row r="407" spans="1:12" hidden="1">
      <c r="A407" s="4"/>
      <c r="B407" s="42" t="s">
        <v>1180</v>
      </c>
      <c r="C407" s="10" t="s">
        <v>122</v>
      </c>
      <c r="D407" s="10" t="s">
        <v>1181</v>
      </c>
      <c r="E407" s="4"/>
      <c r="F407" s="10" t="s">
        <v>1182</v>
      </c>
      <c r="G407" s="10"/>
      <c r="H407" s="10"/>
      <c r="I407" s="20">
        <f t="shared" si="7"/>
        <v>0</v>
      </c>
      <c r="J407" s="10" t="s">
        <v>593</v>
      </c>
      <c r="K407" s="10" t="s">
        <v>593</v>
      </c>
      <c r="L407" s="4"/>
    </row>
    <row r="408" spans="1:12" hidden="1">
      <c r="A408" s="4"/>
      <c r="B408" s="42" t="s">
        <v>1183</v>
      </c>
      <c r="C408" s="10" t="s">
        <v>122</v>
      </c>
      <c r="D408" s="10" t="s">
        <v>1181</v>
      </c>
      <c r="E408" s="4"/>
      <c r="F408" s="10" t="s">
        <v>1184</v>
      </c>
      <c r="G408" s="10"/>
      <c r="H408" s="10"/>
      <c r="I408" s="20">
        <f t="shared" si="7"/>
        <v>0</v>
      </c>
      <c r="J408" s="10" t="s">
        <v>593</v>
      </c>
      <c r="K408" s="10" t="s">
        <v>593</v>
      </c>
      <c r="L408" s="4"/>
    </row>
    <row r="409" spans="1:12" hidden="1">
      <c r="A409" s="4"/>
      <c r="B409" s="42" t="s">
        <v>1185</v>
      </c>
      <c r="C409" s="10" t="s">
        <v>122</v>
      </c>
      <c r="D409" s="10" t="s">
        <v>172</v>
      </c>
      <c r="E409" s="4"/>
      <c r="F409" s="10" t="s">
        <v>1186</v>
      </c>
      <c r="G409" s="10"/>
      <c r="H409" s="10"/>
      <c r="I409" s="20">
        <f t="shared" si="7"/>
        <v>0</v>
      </c>
      <c r="J409" s="10" t="s">
        <v>593</v>
      </c>
      <c r="K409" s="10" t="s">
        <v>593</v>
      </c>
      <c r="L409" s="4"/>
    </row>
    <row r="410" spans="1:12" hidden="1">
      <c r="A410" s="4"/>
      <c r="B410" s="42" t="s">
        <v>1187</v>
      </c>
      <c r="C410" s="10" t="s">
        <v>122</v>
      </c>
      <c r="D410" s="10" t="s">
        <v>1188</v>
      </c>
      <c r="E410" s="4"/>
      <c r="F410" s="10" t="s">
        <v>1189</v>
      </c>
      <c r="G410" s="10"/>
      <c r="H410" s="10"/>
      <c r="I410" s="20">
        <f t="shared" si="7"/>
        <v>0</v>
      </c>
      <c r="J410" s="10" t="s">
        <v>593</v>
      </c>
      <c r="K410" s="10" t="s">
        <v>593</v>
      </c>
      <c r="L410" s="4"/>
    </row>
    <row r="411" spans="1:12" hidden="1">
      <c r="A411" s="4"/>
      <c r="B411" s="42" t="s">
        <v>1190</v>
      </c>
      <c r="C411" s="10" t="s">
        <v>122</v>
      </c>
      <c r="D411" s="10" t="s">
        <v>1191</v>
      </c>
      <c r="E411" s="4"/>
      <c r="F411" s="10" t="s">
        <v>1192</v>
      </c>
      <c r="G411" s="10"/>
      <c r="H411" s="10"/>
      <c r="I411" s="20">
        <f t="shared" si="7"/>
        <v>0</v>
      </c>
      <c r="J411" s="10" t="s">
        <v>798</v>
      </c>
      <c r="K411" s="10">
        <v>1</v>
      </c>
      <c r="L411" s="4"/>
    </row>
    <row r="412" spans="1:12" hidden="1">
      <c r="A412" s="4"/>
      <c r="B412" s="42" t="s">
        <v>1193</v>
      </c>
      <c r="C412" s="10" t="s">
        <v>122</v>
      </c>
      <c r="D412" s="10" t="s">
        <v>1188</v>
      </c>
      <c r="E412" s="4"/>
      <c r="F412" s="10" t="s">
        <v>1194</v>
      </c>
      <c r="G412" s="10"/>
      <c r="H412" s="10"/>
      <c r="I412" s="20">
        <f t="shared" si="7"/>
        <v>0</v>
      </c>
      <c r="J412" s="10" t="s">
        <v>593</v>
      </c>
      <c r="K412" s="10" t="s">
        <v>593</v>
      </c>
      <c r="L412" s="4"/>
    </row>
    <row r="413" spans="1:12" hidden="1">
      <c r="A413" s="4"/>
      <c r="B413" s="42" t="s">
        <v>1195</v>
      </c>
      <c r="C413" s="10" t="s">
        <v>122</v>
      </c>
      <c r="D413" s="10" t="s">
        <v>172</v>
      </c>
      <c r="E413" s="4"/>
      <c r="F413" s="10" t="s">
        <v>1196</v>
      </c>
      <c r="G413" s="10"/>
      <c r="H413" s="10"/>
      <c r="I413" s="20">
        <f t="shared" si="7"/>
        <v>0</v>
      </c>
      <c r="J413" s="10" t="s">
        <v>593</v>
      </c>
      <c r="K413" s="10" t="s">
        <v>593</v>
      </c>
      <c r="L413" s="4"/>
    </row>
    <row r="414" spans="1:12" hidden="1">
      <c r="A414" s="4"/>
      <c r="B414" s="42" t="s">
        <v>1197</v>
      </c>
      <c r="C414" s="10" t="s">
        <v>122</v>
      </c>
      <c r="D414" s="10" t="s">
        <v>1198</v>
      </c>
      <c r="E414" s="4"/>
      <c r="F414" s="10" t="s">
        <v>1199</v>
      </c>
      <c r="G414" s="10"/>
      <c r="H414" s="10"/>
      <c r="I414" s="20">
        <f t="shared" si="7"/>
        <v>0</v>
      </c>
      <c r="J414" s="10" t="s">
        <v>593</v>
      </c>
      <c r="K414" s="10" t="s">
        <v>593</v>
      </c>
      <c r="L414" s="4"/>
    </row>
    <row r="415" spans="1:12" hidden="1">
      <c r="A415" s="4"/>
      <c r="B415" s="42" t="s">
        <v>1200</v>
      </c>
      <c r="C415" s="10" t="s">
        <v>122</v>
      </c>
      <c r="D415" s="10" t="s">
        <v>1201</v>
      </c>
      <c r="E415" s="4"/>
      <c r="F415" s="10" t="s">
        <v>1202</v>
      </c>
      <c r="G415" s="10"/>
      <c r="H415" s="10"/>
      <c r="I415" s="20">
        <f t="shared" si="7"/>
        <v>0</v>
      </c>
      <c r="J415" s="10" t="s">
        <v>798</v>
      </c>
      <c r="K415" s="10">
        <v>1</v>
      </c>
      <c r="L415" s="4"/>
    </row>
    <row r="416" spans="1:12" hidden="1">
      <c r="A416" s="4"/>
      <c r="B416" s="42" t="s">
        <v>1203</v>
      </c>
      <c r="C416" s="10" t="s">
        <v>122</v>
      </c>
      <c r="D416" s="10" t="s">
        <v>1204</v>
      </c>
      <c r="E416" s="4"/>
      <c r="F416" s="10" t="s">
        <v>1205</v>
      </c>
      <c r="G416" s="10"/>
      <c r="H416" s="10"/>
      <c r="I416" s="20">
        <f t="shared" si="7"/>
        <v>0</v>
      </c>
      <c r="J416" s="10" t="s">
        <v>593</v>
      </c>
      <c r="K416" s="10" t="s">
        <v>593</v>
      </c>
      <c r="L416" s="4"/>
    </row>
    <row r="417" spans="1:12" hidden="1">
      <c r="A417" s="4"/>
      <c r="B417" s="42" t="s">
        <v>1206</v>
      </c>
      <c r="C417" s="10" t="s">
        <v>122</v>
      </c>
      <c r="D417" s="10" t="s">
        <v>508</v>
      </c>
      <c r="E417" s="4"/>
      <c r="F417" s="10" t="s">
        <v>1207</v>
      </c>
      <c r="G417" s="10"/>
      <c r="H417" s="10"/>
      <c r="I417" s="20">
        <f t="shared" si="7"/>
        <v>0</v>
      </c>
      <c r="J417" s="10" t="s">
        <v>798</v>
      </c>
      <c r="K417" s="10">
        <v>1</v>
      </c>
      <c r="L417" s="4"/>
    </row>
    <row r="418" spans="1:12" hidden="1">
      <c r="A418" s="4"/>
      <c r="B418" s="42" t="s">
        <v>1208</v>
      </c>
      <c r="C418" s="10" t="s">
        <v>122</v>
      </c>
      <c r="D418" s="10" t="s">
        <v>508</v>
      </c>
      <c r="E418" s="4"/>
      <c r="F418" s="10" t="s">
        <v>1209</v>
      </c>
      <c r="G418" s="10"/>
      <c r="H418" s="10"/>
      <c r="I418" s="20">
        <f t="shared" si="7"/>
        <v>0</v>
      </c>
      <c r="J418" s="10" t="s">
        <v>798</v>
      </c>
      <c r="K418" s="10">
        <v>1</v>
      </c>
      <c r="L418" s="4"/>
    </row>
    <row r="419" spans="1:12" hidden="1">
      <c r="A419" s="4"/>
      <c r="B419" s="42" t="s">
        <v>1210</v>
      </c>
      <c r="C419" s="10" t="s">
        <v>122</v>
      </c>
      <c r="D419" s="10" t="s">
        <v>123</v>
      </c>
      <c r="E419" s="4"/>
      <c r="F419" s="10" t="s">
        <v>124</v>
      </c>
      <c r="G419" s="10"/>
      <c r="H419" s="10"/>
      <c r="I419" s="20">
        <f t="shared" si="7"/>
        <v>0</v>
      </c>
      <c r="J419" s="10" t="s">
        <v>593</v>
      </c>
      <c r="K419" s="10" t="s">
        <v>593</v>
      </c>
      <c r="L419" s="4"/>
    </row>
    <row r="420" spans="1:12" hidden="1">
      <c r="A420" s="4"/>
      <c r="B420" s="42" t="s">
        <v>1211</v>
      </c>
      <c r="C420" s="10" t="s">
        <v>122</v>
      </c>
      <c r="D420" s="10" t="s">
        <v>1191</v>
      </c>
      <c r="E420" s="4"/>
      <c r="F420" s="10" t="s">
        <v>1212</v>
      </c>
      <c r="G420" s="10"/>
      <c r="H420" s="10"/>
      <c r="I420" s="20">
        <f t="shared" si="7"/>
        <v>0</v>
      </c>
      <c r="J420" s="10" t="s">
        <v>798</v>
      </c>
      <c r="K420" s="10">
        <v>1</v>
      </c>
      <c r="L420" s="4"/>
    </row>
    <row r="421" spans="1:12" hidden="1">
      <c r="A421" s="4"/>
      <c r="B421" s="42" t="s">
        <v>1213</v>
      </c>
      <c r="C421" s="10" t="s">
        <v>122</v>
      </c>
      <c r="D421" s="10" t="s">
        <v>517</v>
      </c>
      <c r="E421" s="4"/>
      <c r="F421" s="10" t="s">
        <v>518</v>
      </c>
      <c r="G421" s="10"/>
      <c r="H421" s="10"/>
      <c r="I421" s="20">
        <f t="shared" si="7"/>
        <v>0</v>
      </c>
      <c r="J421" s="10" t="s">
        <v>798</v>
      </c>
      <c r="K421" s="10">
        <v>1</v>
      </c>
      <c r="L421" s="4"/>
    </row>
    <row r="422" spans="1:12" hidden="1">
      <c r="A422" s="4"/>
      <c r="B422" s="4" t="s">
        <v>583</v>
      </c>
      <c r="C422" s="10" t="s">
        <v>1060</v>
      </c>
      <c r="D422" s="10" t="s">
        <v>1061</v>
      </c>
      <c r="E422" s="4"/>
      <c r="F422" s="26" t="s">
        <v>1214</v>
      </c>
      <c r="G422" s="19"/>
      <c r="H422" s="19"/>
      <c r="I422" s="20">
        <f t="shared" si="7"/>
        <v>0</v>
      </c>
      <c r="J422" s="10" t="s">
        <v>1147</v>
      </c>
      <c r="K422" s="10">
        <v>1000</v>
      </c>
      <c r="L422" s="5"/>
    </row>
    <row r="423" spans="1:12" hidden="1">
      <c r="A423" s="4"/>
      <c r="B423" s="4" t="s">
        <v>583</v>
      </c>
      <c r="C423" s="10" t="s">
        <v>1060</v>
      </c>
      <c r="D423" s="10" t="s">
        <v>1061</v>
      </c>
      <c r="E423" s="4"/>
      <c r="F423" s="10" t="s">
        <v>1215</v>
      </c>
      <c r="G423" s="19"/>
      <c r="H423" s="19"/>
      <c r="I423" s="20">
        <f t="shared" si="7"/>
        <v>0</v>
      </c>
      <c r="J423" s="10" t="s">
        <v>1063</v>
      </c>
      <c r="K423" s="10">
        <v>1</v>
      </c>
      <c r="L423" s="5"/>
    </row>
    <row r="424" spans="1:12" hidden="1">
      <c r="A424" s="4"/>
      <c r="B424" s="4" t="s">
        <v>1216</v>
      </c>
      <c r="C424" s="10" t="s">
        <v>158</v>
      </c>
      <c r="D424" s="10" t="s">
        <v>1217</v>
      </c>
      <c r="E424" s="4"/>
      <c r="F424" s="10" t="s">
        <v>1218</v>
      </c>
      <c r="G424" s="10"/>
      <c r="H424" s="10"/>
      <c r="I424" s="20">
        <f t="shared" si="7"/>
        <v>0</v>
      </c>
      <c r="J424" s="10" t="s">
        <v>593</v>
      </c>
      <c r="K424" s="10" t="s">
        <v>593</v>
      </c>
      <c r="L424" s="4"/>
    </row>
    <row r="425" spans="1:12" hidden="1">
      <c r="A425" s="4"/>
      <c r="B425" s="4" t="s">
        <v>1219</v>
      </c>
      <c r="C425" s="10" t="s">
        <v>158</v>
      </c>
      <c r="D425" s="10" t="s">
        <v>1217</v>
      </c>
      <c r="E425" s="4"/>
      <c r="F425" s="10" t="s">
        <v>1220</v>
      </c>
      <c r="G425" s="10"/>
      <c r="H425" s="10"/>
      <c r="I425" s="20">
        <f t="shared" si="7"/>
        <v>0</v>
      </c>
      <c r="J425" s="10" t="s">
        <v>593</v>
      </c>
      <c r="K425" s="10" t="s">
        <v>593</v>
      </c>
      <c r="L425" s="4"/>
    </row>
    <row r="426" spans="1:12" hidden="1">
      <c r="A426" s="4"/>
      <c r="B426" s="4" t="s">
        <v>1221</v>
      </c>
      <c r="C426" s="10" t="s">
        <v>158</v>
      </c>
      <c r="D426" s="10" t="s">
        <v>1222</v>
      </c>
      <c r="E426" s="4"/>
      <c r="F426" s="10" t="s">
        <v>1223</v>
      </c>
      <c r="G426" s="10"/>
      <c r="H426" s="10"/>
      <c r="I426" s="20">
        <f t="shared" si="7"/>
        <v>0</v>
      </c>
      <c r="J426" s="10" t="s">
        <v>593</v>
      </c>
      <c r="K426" s="10" t="s">
        <v>593</v>
      </c>
      <c r="L426" s="4"/>
    </row>
    <row r="427" spans="1:12" hidden="1">
      <c r="A427" s="4"/>
      <c r="B427" s="4" t="s">
        <v>1224</v>
      </c>
      <c r="C427" s="10" t="s">
        <v>158</v>
      </c>
      <c r="D427" s="10" t="s">
        <v>1225</v>
      </c>
      <c r="E427" s="4"/>
      <c r="F427" s="10" t="s">
        <v>1226</v>
      </c>
      <c r="G427" s="10"/>
      <c r="H427" s="10"/>
      <c r="I427" s="20">
        <f t="shared" si="7"/>
        <v>0</v>
      </c>
      <c r="J427" s="10" t="s">
        <v>593</v>
      </c>
      <c r="K427" s="10" t="s">
        <v>593</v>
      </c>
      <c r="L427" s="4"/>
    </row>
    <row r="428" spans="1:12" hidden="1">
      <c r="A428" s="4"/>
      <c r="B428" s="4" t="s">
        <v>1227</v>
      </c>
      <c r="C428" s="10" t="s">
        <v>158</v>
      </c>
      <c r="D428" s="10" t="s">
        <v>1217</v>
      </c>
      <c r="E428" s="4"/>
      <c r="F428" s="10" t="s">
        <v>1228</v>
      </c>
      <c r="G428" s="10"/>
      <c r="H428" s="10"/>
      <c r="I428" s="20">
        <f t="shared" si="7"/>
        <v>0</v>
      </c>
      <c r="J428" s="10" t="s">
        <v>593</v>
      </c>
      <c r="K428" s="10" t="s">
        <v>593</v>
      </c>
      <c r="L428" s="4"/>
    </row>
    <row r="429" spans="1:12" hidden="1">
      <c r="A429" s="4"/>
      <c r="B429" s="4" t="s">
        <v>1229</v>
      </c>
      <c r="C429" s="10" t="s">
        <v>158</v>
      </c>
      <c r="D429" s="10" t="s">
        <v>1225</v>
      </c>
      <c r="E429" s="4"/>
      <c r="F429" s="10" t="s">
        <v>1230</v>
      </c>
      <c r="G429" s="10"/>
      <c r="H429" s="10"/>
      <c r="I429" s="20">
        <f t="shared" si="7"/>
        <v>0</v>
      </c>
      <c r="J429" s="10" t="s">
        <v>593</v>
      </c>
      <c r="K429" s="10" t="s">
        <v>593</v>
      </c>
      <c r="L429" s="4"/>
    </row>
    <row r="430" spans="1:12" hidden="1">
      <c r="A430" s="4"/>
      <c r="B430" s="4" t="s">
        <v>1231</v>
      </c>
      <c r="C430" s="10" t="s">
        <v>158</v>
      </c>
      <c r="D430" s="10" t="s">
        <v>1232</v>
      </c>
      <c r="E430" s="4"/>
      <c r="F430" s="10" t="s">
        <v>1233</v>
      </c>
      <c r="G430" s="10"/>
      <c r="H430" s="10"/>
      <c r="I430" s="20">
        <f t="shared" si="7"/>
        <v>0</v>
      </c>
      <c r="J430" s="10" t="s">
        <v>593</v>
      </c>
      <c r="K430" s="10" t="s">
        <v>593</v>
      </c>
      <c r="L430" s="4"/>
    </row>
    <row r="431" spans="1:12" hidden="1">
      <c r="A431" s="4"/>
      <c r="B431" s="4" t="s">
        <v>1234</v>
      </c>
      <c r="C431" s="10" t="s">
        <v>158</v>
      </c>
      <c r="D431" s="10" t="s">
        <v>1222</v>
      </c>
      <c r="E431" s="4"/>
      <c r="F431" s="10" t="s">
        <v>1235</v>
      </c>
      <c r="G431" s="10"/>
      <c r="H431" s="10"/>
      <c r="I431" s="20">
        <f t="shared" si="7"/>
        <v>0</v>
      </c>
      <c r="J431" s="10" t="s">
        <v>593</v>
      </c>
      <c r="K431" s="10" t="s">
        <v>593</v>
      </c>
      <c r="L431" s="4"/>
    </row>
    <row r="432" spans="1:12" hidden="1">
      <c r="A432" s="4"/>
      <c r="B432" s="4" t="s">
        <v>583</v>
      </c>
      <c r="C432" s="10" t="s">
        <v>1060</v>
      </c>
      <c r="D432" s="10" t="s">
        <v>1061</v>
      </c>
      <c r="E432" s="4"/>
      <c r="F432" s="10" t="s">
        <v>1236</v>
      </c>
      <c r="G432" s="19"/>
      <c r="H432" s="19"/>
      <c r="I432" s="20">
        <f t="shared" si="7"/>
        <v>0</v>
      </c>
      <c r="J432" s="10" t="s">
        <v>1147</v>
      </c>
      <c r="K432" s="10">
        <v>1000</v>
      </c>
      <c r="L432" s="5"/>
    </row>
    <row r="433" spans="1:12" hidden="1">
      <c r="A433" s="4"/>
      <c r="B433" s="4" t="s">
        <v>583</v>
      </c>
      <c r="C433" s="10" t="s">
        <v>1060</v>
      </c>
      <c r="D433" s="10" t="s">
        <v>1061</v>
      </c>
      <c r="E433" s="4"/>
      <c r="F433" s="10" t="s">
        <v>1237</v>
      </c>
      <c r="G433" s="19"/>
      <c r="H433" s="19"/>
      <c r="I433" s="20">
        <f t="shared" si="7"/>
        <v>0</v>
      </c>
      <c r="J433" s="10" t="s">
        <v>1063</v>
      </c>
      <c r="K433" s="10">
        <v>1</v>
      </c>
      <c r="L433" s="5"/>
    </row>
    <row r="434" spans="1:12" hidden="1">
      <c r="A434" s="4"/>
      <c r="B434" s="4" t="s">
        <v>583</v>
      </c>
      <c r="C434" s="10" t="s">
        <v>1060</v>
      </c>
      <c r="D434" s="10" t="s">
        <v>1061</v>
      </c>
      <c r="E434" s="4"/>
      <c r="F434" s="10" t="s">
        <v>1238</v>
      </c>
      <c r="G434" s="19"/>
      <c r="H434" s="19"/>
      <c r="I434" s="20">
        <f t="shared" si="7"/>
        <v>0</v>
      </c>
      <c r="J434" s="10" t="s">
        <v>1063</v>
      </c>
      <c r="K434" s="10">
        <v>1</v>
      </c>
      <c r="L434" s="5"/>
    </row>
    <row r="435" spans="1:12" hidden="1">
      <c r="A435" s="4"/>
      <c r="B435" s="4" t="s">
        <v>583</v>
      </c>
      <c r="C435" s="10" t="s">
        <v>1060</v>
      </c>
      <c r="D435" s="10" t="s">
        <v>1061</v>
      </c>
      <c r="E435" s="4"/>
      <c r="F435" s="10" t="s">
        <v>1239</v>
      </c>
      <c r="G435" s="19"/>
      <c r="H435" s="19"/>
      <c r="I435" s="20">
        <f t="shared" si="7"/>
        <v>0</v>
      </c>
      <c r="J435" s="10" t="s">
        <v>1063</v>
      </c>
      <c r="K435" s="10">
        <v>1</v>
      </c>
      <c r="L435" s="5"/>
    </row>
    <row r="436" spans="1:12" hidden="1">
      <c r="A436" s="4"/>
      <c r="B436" s="4" t="s">
        <v>583</v>
      </c>
      <c r="C436" s="10" t="s">
        <v>1060</v>
      </c>
      <c r="D436" s="10" t="s">
        <v>1083</v>
      </c>
      <c r="E436" s="4"/>
      <c r="F436" s="26" t="s">
        <v>1240</v>
      </c>
      <c r="G436" s="19"/>
      <c r="H436" s="19"/>
      <c r="I436" s="20">
        <f t="shared" si="7"/>
        <v>0</v>
      </c>
      <c r="J436" s="10" t="s">
        <v>1147</v>
      </c>
      <c r="K436" s="10">
        <v>1000</v>
      </c>
      <c r="L436" s="5"/>
    </row>
    <row r="437" spans="1:12" hidden="1">
      <c r="A437" s="4"/>
      <c r="B437" s="4" t="s">
        <v>583</v>
      </c>
      <c r="C437" s="10" t="s">
        <v>1060</v>
      </c>
      <c r="D437" s="10" t="s">
        <v>1085</v>
      </c>
      <c r="E437" s="4"/>
      <c r="F437" s="26" t="s">
        <v>1241</v>
      </c>
      <c r="G437" s="19"/>
      <c r="H437" s="19"/>
      <c r="I437" s="20">
        <f t="shared" si="7"/>
        <v>0</v>
      </c>
      <c r="J437" s="10" t="s">
        <v>1147</v>
      </c>
      <c r="K437" s="10">
        <v>1000</v>
      </c>
      <c r="L437" s="5"/>
    </row>
    <row r="438" spans="1:12" hidden="1">
      <c r="A438" s="4"/>
      <c r="B438" s="4" t="s">
        <v>583</v>
      </c>
      <c r="C438" s="10" t="s">
        <v>1060</v>
      </c>
      <c r="D438" s="10" t="s">
        <v>1065</v>
      </c>
      <c r="E438" s="4"/>
      <c r="F438" s="26" t="s">
        <v>1242</v>
      </c>
      <c r="G438" s="19"/>
      <c r="H438" s="19"/>
      <c r="I438" s="20">
        <f t="shared" si="7"/>
        <v>0</v>
      </c>
      <c r="J438" s="10" t="s">
        <v>1147</v>
      </c>
      <c r="K438" s="10">
        <v>1000</v>
      </c>
      <c r="L438" s="5"/>
    </row>
    <row r="439" spans="1:12" hidden="1">
      <c r="A439" s="4"/>
      <c r="B439" s="42" t="s">
        <v>1243</v>
      </c>
      <c r="C439" s="26" t="s">
        <v>29</v>
      </c>
      <c r="D439" s="10" t="s">
        <v>1244</v>
      </c>
      <c r="E439" s="4"/>
      <c r="F439" s="10" t="s">
        <v>1245</v>
      </c>
      <c r="G439" s="10"/>
      <c r="H439" s="10"/>
      <c r="I439" s="20">
        <f t="shared" si="7"/>
        <v>0</v>
      </c>
      <c r="J439" s="10" t="s">
        <v>593</v>
      </c>
      <c r="K439" s="10" t="s">
        <v>593</v>
      </c>
      <c r="L439" s="4"/>
    </row>
    <row r="440" spans="1:12" hidden="1">
      <c r="A440" s="4"/>
      <c r="B440" s="42" t="s">
        <v>1246</v>
      </c>
      <c r="C440" s="26" t="s">
        <v>29</v>
      </c>
      <c r="D440" s="10" t="s">
        <v>1244</v>
      </c>
      <c r="E440" s="4"/>
      <c r="F440" s="10" t="s">
        <v>1247</v>
      </c>
      <c r="G440" s="10"/>
      <c r="H440" s="10"/>
      <c r="I440" s="20">
        <f t="shared" si="7"/>
        <v>0</v>
      </c>
      <c r="J440" s="10" t="s">
        <v>593</v>
      </c>
      <c r="K440" s="10" t="s">
        <v>593</v>
      </c>
      <c r="L440" s="4"/>
    </row>
    <row r="441" spans="1:12" hidden="1">
      <c r="A441" s="4"/>
      <c r="B441" s="42" t="s">
        <v>1248</v>
      </c>
      <c r="C441" s="26" t="s">
        <v>29</v>
      </c>
      <c r="D441" s="10" t="s">
        <v>1040</v>
      </c>
      <c r="E441" s="4"/>
      <c r="F441" s="10" t="s">
        <v>1249</v>
      </c>
      <c r="G441" s="10"/>
      <c r="H441" s="10"/>
      <c r="I441" s="20">
        <f t="shared" si="7"/>
        <v>0</v>
      </c>
      <c r="J441" s="10" t="s">
        <v>593</v>
      </c>
      <c r="K441" s="10" t="s">
        <v>593</v>
      </c>
      <c r="L441" s="4"/>
    </row>
    <row r="442" spans="1:12" hidden="1">
      <c r="A442" s="4"/>
      <c r="B442" s="42" t="s">
        <v>1250</v>
      </c>
      <c r="C442" s="26" t="s">
        <v>29</v>
      </c>
      <c r="D442" s="10" t="s">
        <v>1040</v>
      </c>
      <c r="E442" s="4"/>
      <c r="F442" s="10" t="s">
        <v>1251</v>
      </c>
      <c r="G442" s="10"/>
      <c r="H442" s="10"/>
      <c r="I442" s="20">
        <f t="shared" si="7"/>
        <v>0</v>
      </c>
      <c r="J442" s="10" t="s">
        <v>593</v>
      </c>
      <c r="K442" s="10" t="s">
        <v>593</v>
      </c>
      <c r="L442" s="4"/>
    </row>
    <row r="443" spans="1:12" hidden="1">
      <c r="A443" s="4"/>
      <c r="B443" s="42" t="s">
        <v>1252</v>
      </c>
      <c r="C443" s="26" t="s">
        <v>29</v>
      </c>
      <c r="D443" s="10" t="s">
        <v>30</v>
      </c>
      <c r="E443" s="4"/>
      <c r="F443" s="10" t="s">
        <v>31</v>
      </c>
      <c r="G443" s="10"/>
      <c r="H443" s="10"/>
      <c r="I443" s="20">
        <f t="shared" si="7"/>
        <v>0</v>
      </c>
      <c r="J443" s="10" t="s">
        <v>586</v>
      </c>
      <c r="K443" s="10">
        <v>1</v>
      </c>
      <c r="L443" s="4"/>
    </row>
    <row r="444" spans="1:12" hidden="1">
      <c r="A444" s="4"/>
      <c r="B444" s="42" t="s">
        <v>1253</v>
      </c>
      <c r="C444" s="26" t="s">
        <v>29</v>
      </c>
      <c r="D444" s="10" t="s">
        <v>147</v>
      </c>
      <c r="E444" s="4"/>
      <c r="F444" s="10" t="s">
        <v>1254</v>
      </c>
      <c r="G444" s="10"/>
      <c r="H444" s="10"/>
      <c r="I444" s="20">
        <f t="shared" si="7"/>
        <v>0</v>
      </c>
      <c r="J444" s="10" t="s">
        <v>640</v>
      </c>
      <c r="K444" s="10">
        <v>1</v>
      </c>
      <c r="L444" s="4"/>
    </row>
    <row r="445" spans="1:12" hidden="1">
      <c r="A445" s="4"/>
      <c r="B445" s="42" t="s">
        <v>1255</v>
      </c>
      <c r="C445" s="26" t="s">
        <v>29</v>
      </c>
      <c r="D445" s="10" t="s">
        <v>147</v>
      </c>
      <c r="E445" s="4"/>
      <c r="F445" s="10" t="s">
        <v>1256</v>
      </c>
      <c r="G445" s="10"/>
      <c r="H445" s="10"/>
      <c r="I445" s="20">
        <f t="shared" si="7"/>
        <v>0</v>
      </c>
      <c r="J445" s="10" t="s">
        <v>640</v>
      </c>
      <c r="K445" s="10">
        <v>1</v>
      </c>
      <c r="L445" s="4"/>
    </row>
    <row r="446" spans="1:12" hidden="1">
      <c r="A446" s="4"/>
      <c r="B446" s="42" t="s">
        <v>1257</v>
      </c>
      <c r="C446" s="26" t="s">
        <v>29</v>
      </c>
      <c r="D446" s="10" t="s">
        <v>147</v>
      </c>
      <c r="E446" s="4"/>
      <c r="F446" s="10" t="s">
        <v>1258</v>
      </c>
      <c r="G446" s="10"/>
      <c r="H446" s="10"/>
      <c r="I446" s="20">
        <f t="shared" si="7"/>
        <v>0</v>
      </c>
      <c r="J446" s="10" t="s">
        <v>640</v>
      </c>
      <c r="K446" s="10">
        <v>1</v>
      </c>
      <c r="L446" s="4"/>
    </row>
    <row r="447" spans="1:12" hidden="1">
      <c r="A447" s="4"/>
      <c r="B447" s="42" t="s">
        <v>1259</v>
      </c>
      <c r="C447" s="26" t="s">
        <v>29</v>
      </c>
      <c r="D447" s="10" t="s">
        <v>1042</v>
      </c>
      <c r="E447" s="4"/>
      <c r="F447" s="10" t="s">
        <v>1260</v>
      </c>
      <c r="G447" s="10"/>
      <c r="H447" s="10"/>
      <c r="I447" s="20">
        <f t="shared" si="7"/>
        <v>0</v>
      </c>
      <c r="J447" s="10" t="s">
        <v>593</v>
      </c>
      <c r="K447" s="10" t="s">
        <v>593</v>
      </c>
      <c r="L447" s="4"/>
    </row>
    <row r="448" spans="1:12" hidden="1">
      <c r="A448" s="4"/>
      <c r="B448" s="42" t="s">
        <v>1261</v>
      </c>
      <c r="C448" s="26" t="s">
        <v>29</v>
      </c>
      <c r="D448" s="10" t="s">
        <v>1042</v>
      </c>
      <c r="E448" s="4"/>
      <c r="F448" s="10" t="s">
        <v>1262</v>
      </c>
      <c r="G448" s="10"/>
      <c r="H448" s="10"/>
      <c r="I448" s="20">
        <f t="shared" si="7"/>
        <v>0</v>
      </c>
      <c r="J448" s="10" t="s">
        <v>593</v>
      </c>
      <c r="K448" s="10" t="s">
        <v>593</v>
      </c>
      <c r="L448" s="4"/>
    </row>
    <row r="449" spans="1:12" hidden="1">
      <c r="A449" s="4"/>
      <c r="B449" s="42" t="s">
        <v>1263</v>
      </c>
      <c r="C449" s="26" t="s">
        <v>29</v>
      </c>
      <c r="D449" s="10" t="s">
        <v>1042</v>
      </c>
      <c r="E449" s="4"/>
      <c r="F449" s="10" t="s">
        <v>1264</v>
      </c>
      <c r="G449" s="10"/>
      <c r="H449" s="10"/>
      <c r="I449" s="20">
        <f t="shared" si="7"/>
        <v>0</v>
      </c>
      <c r="J449" s="10" t="s">
        <v>593</v>
      </c>
      <c r="K449" s="10" t="s">
        <v>593</v>
      </c>
      <c r="L449" s="4"/>
    </row>
    <row r="450" spans="1:12" hidden="1">
      <c r="A450" s="4"/>
      <c r="B450" s="42" t="s">
        <v>1265</v>
      </c>
      <c r="C450" s="26" t="s">
        <v>29</v>
      </c>
      <c r="D450" s="10" t="s">
        <v>1042</v>
      </c>
      <c r="E450" s="4"/>
      <c r="F450" s="10" t="s">
        <v>1266</v>
      </c>
      <c r="G450" s="10"/>
      <c r="H450" s="10"/>
      <c r="I450" s="20">
        <f t="shared" si="7"/>
        <v>0</v>
      </c>
      <c r="J450" s="10" t="s">
        <v>593</v>
      </c>
      <c r="K450" s="10" t="s">
        <v>593</v>
      </c>
      <c r="L450" s="4"/>
    </row>
    <row r="451" spans="1:12" hidden="1">
      <c r="A451" s="4"/>
      <c r="B451" s="42" t="s">
        <v>1267</v>
      </c>
      <c r="C451" s="26" t="s">
        <v>29</v>
      </c>
      <c r="D451" s="10" t="s">
        <v>1040</v>
      </c>
      <c r="E451" s="4"/>
      <c r="F451" s="10" t="s">
        <v>1268</v>
      </c>
      <c r="G451" s="10"/>
      <c r="H451" s="10"/>
      <c r="I451" s="20">
        <f t="shared" si="7"/>
        <v>0</v>
      </c>
      <c r="J451" s="10" t="s">
        <v>593</v>
      </c>
      <c r="K451" s="10" t="s">
        <v>593</v>
      </c>
      <c r="L451" s="4"/>
    </row>
    <row r="452" spans="1:12" hidden="1">
      <c r="A452" s="4"/>
      <c r="B452" s="42" t="s">
        <v>1269</v>
      </c>
      <c r="C452" s="33" t="s">
        <v>29</v>
      </c>
      <c r="D452" s="29" t="s">
        <v>1042</v>
      </c>
      <c r="E452" s="28"/>
      <c r="F452" s="29" t="s">
        <v>1270</v>
      </c>
      <c r="G452" s="29"/>
      <c r="H452" s="29"/>
      <c r="I452" s="20">
        <f t="shared" si="7"/>
        <v>0</v>
      </c>
      <c r="J452" s="10" t="s">
        <v>593</v>
      </c>
      <c r="K452" s="10" t="s">
        <v>593</v>
      </c>
      <c r="L452" s="28"/>
    </row>
    <row r="453" spans="1:12" hidden="1">
      <c r="A453" s="4"/>
      <c r="B453" s="42" t="s">
        <v>1271</v>
      </c>
      <c r="C453" s="26" t="s">
        <v>29</v>
      </c>
      <c r="D453" s="10" t="s">
        <v>1042</v>
      </c>
      <c r="E453" s="4"/>
      <c r="F453" s="10" t="s">
        <v>1272</v>
      </c>
      <c r="G453" s="10"/>
      <c r="H453" s="10"/>
      <c r="I453" s="20">
        <f t="shared" si="7"/>
        <v>0</v>
      </c>
      <c r="J453" s="10" t="s">
        <v>593</v>
      </c>
      <c r="K453" s="10" t="s">
        <v>593</v>
      </c>
      <c r="L453" s="4"/>
    </row>
    <row r="454" spans="1:12" hidden="1">
      <c r="A454" s="4"/>
      <c r="B454" s="42" t="s">
        <v>1273</v>
      </c>
      <c r="C454" s="26" t="s">
        <v>29</v>
      </c>
      <c r="D454" s="10" t="s">
        <v>1274</v>
      </c>
      <c r="E454" s="4"/>
      <c r="F454" s="10" t="s">
        <v>1275</v>
      </c>
      <c r="G454" s="10"/>
      <c r="H454" s="10"/>
      <c r="I454" s="20">
        <f t="shared" si="7"/>
        <v>0</v>
      </c>
      <c r="J454" s="10" t="s">
        <v>798</v>
      </c>
      <c r="K454" s="10">
        <v>1</v>
      </c>
      <c r="L454" s="4"/>
    </row>
    <row r="455" spans="1:12" hidden="1">
      <c r="A455" s="4"/>
      <c r="B455" s="42" t="s">
        <v>1276</v>
      </c>
      <c r="C455" s="26" t="s">
        <v>29</v>
      </c>
      <c r="D455" s="10" t="s">
        <v>1042</v>
      </c>
      <c r="E455" s="4"/>
      <c r="F455" s="10" t="s">
        <v>1277</v>
      </c>
      <c r="G455" s="10"/>
      <c r="H455" s="10"/>
      <c r="I455" s="20">
        <f t="shared" si="7"/>
        <v>0</v>
      </c>
      <c r="J455" s="10" t="s">
        <v>593</v>
      </c>
      <c r="K455" s="10" t="s">
        <v>593</v>
      </c>
      <c r="L455" s="4"/>
    </row>
    <row r="456" spans="1:12" hidden="1">
      <c r="A456" s="4"/>
      <c r="B456" s="42" t="s">
        <v>1278</v>
      </c>
      <c r="C456" s="26" t="s">
        <v>29</v>
      </c>
      <c r="D456" s="10" t="s">
        <v>1042</v>
      </c>
      <c r="E456" s="4"/>
      <c r="F456" s="10" t="s">
        <v>1279</v>
      </c>
      <c r="G456" s="10"/>
      <c r="H456" s="10"/>
      <c r="I456" s="20">
        <f t="shared" si="7"/>
        <v>0</v>
      </c>
      <c r="J456" s="10" t="s">
        <v>593</v>
      </c>
      <c r="K456" s="10" t="s">
        <v>593</v>
      </c>
      <c r="L456" s="4"/>
    </row>
    <row r="457" spans="1:12" hidden="1">
      <c r="A457" s="4"/>
      <c r="B457" s="42" t="s">
        <v>1280</v>
      </c>
      <c r="C457" s="26" t="s">
        <v>29</v>
      </c>
      <c r="D457" s="10" t="s">
        <v>147</v>
      </c>
      <c r="E457" s="4"/>
      <c r="F457" s="10" t="s">
        <v>1281</v>
      </c>
      <c r="G457" s="10"/>
      <c r="H457" s="10"/>
      <c r="I457" s="20">
        <f t="shared" si="7"/>
        <v>0</v>
      </c>
      <c r="J457" s="10" t="s">
        <v>593</v>
      </c>
      <c r="K457" s="10" t="s">
        <v>593</v>
      </c>
      <c r="L457" s="4"/>
    </row>
    <row r="458" spans="1:12" hidden="1">
      <c r="A458" s="4"/>
      <c r="B458" s="42" t="s">
        <v>1282</v>
      </c>
      <c r="C458" s="26" t="s">
        <v>29</v>
      </c>
      <c r="D458" s="10" t="s">
        <v>1042</v>
      </c>
      <c r="E458" s="4"/>
      <c r="F458" s="10" t="s">
        <v>1283</v>
      </c>
      <c r="G458" s="10"/>
      <c r="H458" s="10"/>
      <c r="I458" s="20">
        <f t="shared" si="7"/>
        <v>0</v>
      </c>
      <c r="J458" s="10" t="s">
        <v>593</v>
      </c>
      <c r="K458" s="10" t="s">
        <v>593</v>
      </c>
      <c r="L458" s="4"/>
    </row>
    <row r="459" spans="1:12" hidden="1">
      <c r="A459" s="4"/>
      <c r="B459" s="42" t="s">
        <v>1284</v>
      </c>
      <c r="C459" s="26" t="s">
        <v>29</v>
      </c>
      <c r="D459" s="10" t="s">
        <v>1042</v>
      </c>
      <c r="F459" s="10" t="s">
        <v>1285</v>
      </c>
      <c r="G459" s="10"/>
      <c r="H459" s="10"/>
      <c r="I459" s="20">
        <f t="shared" si="7"/>
        <v>0</v>
      </c>
      <c r="J459" s="10" t="s">
        <v>593</v>
      </c>
      <c r="K459" s="10" t="s">
        <v>593</v>
      </c>
      <c r="L459" s="4"/>
    </row>
    <row r="460" spans="1:12" hidden="1">
      <c r="A460" s="4"/>
      <c r="B460" s="4" t="s">
        <v>583</v>
      </c>
      <c r="C460" s="10" t="s">
        <v>1060</v>
      </c>
      <c r="D460" s="10" t="s">
        <v>1065</v>
      </c>
      <c r="E460" s="4"/>
      <c r="F460" s="26" t="s">
        <v>1286</v>
      </c>
      <c r="G460" s="19"/>
      <c r="H460" s="19"/>
      <c r="I460" s="20">
        <f t="shared" ref="I460:I523" si="8">G460+H460</f>
        <v>0</v>
      </c>
      <c r="J460" s="10" t="s">
        <v>1147</v>
      </c>
      <c r="K460" s="10">
        <v>1000</v>
      </c>
      <c r="L460" s="5"/>
    </row>
    <row r="461" spans="1:12" hidden="1">
      <c r="A461" s="4"/>
      <c r="B461" s="4" t="s">
        <v>583</v>
      </c>
      <c r="C461" s="10" t="s">
        <v>1060</v>
      </c>
      <c r="D461" s="10" t="s">
        <v>1287</v>
      </c>
      <c r="E461" s="4"/>
      <c r="F461" s="10" t="s">
        <v>1288</v>
      </c>
      <c r="G461" s="10"/>
      <c r="H461" s="10"/>
      <c r="I461" s="20">
        <f t="shared" si="8"/>
        <v>0</v>
      </c>
      <c r="J461" s="10" t="s">
        <v>1147</v>
      </c>
      <c r="K461" s="10">
        <v>1000</v>
      </c>
      <c r="L461" s="4"/>
    </row>
    <row r="462" spans="1:12" hidden="1">
      <c r="A462" s="4"/>
      <c r="B462" s="4" t="s">
        <v>583</v>
      </c>
      <c r="C462" s="10" t="s">
        <v>1060</v>
      </c>
      <c r="D462" s="10" t="s">
        <v>1287</v>
      </c>
      <c r="E462" s="4"/>
      <c r="F462" s="10" t="s">
        <v>1289</v>
      </c>
      <c r="G462" s="10"/>
      <c r="H462" s="10"/>
      <c r="I462" s="20">
        <f t="shared" si="8"/>
        <v>0</v>
      </c>
      <c r="J462" s="10" t="s">
        <v>1147</v>
      </c>
      <c r="K462" s="10">
        <v>1000</v>
      </c>
      <c r="L462" s="4"/>
    </row>
    <row r="463" spans="1:12">
      <c r="A463" s="4"/>
      <c r="B463" s="42" t="s">
        <v>1290</v>
      </c>
      <c r="C463" s="26" t="s">
        <v>522</v>
      </c>
      <c r="D463" s="10" t="str">
        <f>VLOOKUP(B463,[11]LPN!$A:$C,3,FALSE)</f>
        <v>Solinet 60/50</v>
      </c>
      <c r="E463" s="4"/>
      <c r="F463" s="10" t="s">
        <v>1291</v>
      </c>
      <c r="G463" s="10"/>
      <c r="H463" s="10"/>
      <c r="I463" s="20">
        <f t="shared" si="8"/>
        <v>0</v>
      </c>
      <c r="J463" s="10" t="s">
        <v>640</v>
      </c>
      <c r="K463" s="10">
        <v>1</v>
      </c>
      <c r="L463" s="4"/>
    </row>
    <row r="464" spans="1:12">
      <c r="A464" s="4"/>
      <c r="B464" s="42" t="s">
        <v>1292</v>
      </c>
      <c r="C464" s="26" t="s">
        <v>522</v>
      </c>
      <c r="D464" s="10" t="str">
        <f>VLOOKUP(B464,[11]LPN!$A:$C,3,FALSE)</f>
        <v xml:space="preserve">Solinet 15/40 </v>
      </c>
      <c r="E464" s="4"/>
      <c r="F464" s="10" t="s">
        <v>1293</v>
      </c>
      <c r="G464" s="10"/>
      <c r="H464" s="10"/>
      <c r="I464" s="20">
        <f t="shared" si="8"/>
        <v>0</v>
      </c>
      <c r="J464" s="10" t="s">
        <v>593</v>
      </c>
      <c r="K464" s="10" t="s">
        <v>593</v>
      </c>
      <c r="L464" s="4"/>
    </row>
    <row r="465" spans="1:12">
      <c r="A465" s="4"/>
      <c r="B465" s="42" t="s">
        <v>1294</v>
      </c>
      <c r="C465" s="26" t="s">
        <v>522</v>
      </c>
      <c r="D465" s="10" t="str">
        <f>VLOOKUP(B465,[11]LPN!$A:$C,3,FALSE)</f>
        <v>Rivnet 35/80</v>
      </c>
      <c r="E465" s="4"/>
      <c r="F465" s="10" t="s">
        <v>1295</v>
      </c>
      <c r="G465" s="10"/>
      <c r="H465" s="10"/>
      <c r="I465" s="20">
        <f t="shared" si="8"/>
        <v>0</v>
      </c>
      <c r="J465" s="10" t="s">
        <v>593</v>
      </c>
      <c r="K465" s="10" t="s">
        <v>593</v>
      </c>
      <c r="L465" s="4"/>
    </row>
    <row r="466" spans="1:12" hidden="1">
      <c r="A466" s="4"/>
      <c r="B466" s="34" t="s">
        <v>583</v>
      </c>
      <c r="C466" s="10" t="s">
        <v>629</v>
      </c>
      <c r="D466" s="10" t="s">
        <v>630</v>
      </c>
      <c r="E466" s="4"/>
      <c r="F466" s="10" t="s">
        <v>1296</v>
      </c>
      <c r="G466" s="10"/>
      <c r="H466" s="10"/>
      <c r="I466" s="20">
        <f t="shared" si="8"/>
        <v>0</v>
      </c>
      <c r="J466" s="10" t="s">
        <v>632</v>
      </c>
      <c r="K466" s="10">
        <v>1</v>
      </c>
      <c r="L466" s="4"/>
    </row>
    <row r="467" spans="1:12">
      <c r="A467" s="4"/>
      <c r="B467" s="42" t="s">
        <v>1297</v>
      </c>
      <c r="C467" s="26" t="s">
        <v>522</v>
      </c>
      <c r="D467" s="10" t="str">
        <f>VLOOKUP(B467,[11]LPN!$A:$C,3,FALSE)</f>
        <v>Solinet 15/40</v>
      </c>
      <c r="E467" s="4"/>
      <c r="F467" s="10" t="s">
        <v>1298</v>
      </c>
      <c r="G467" s="10"/>
      <c r="H467" s="10"/>
      <c r="I467" s="20">
        <f t="shared" si="8"/>
        <v>0</v>
      </c>
      <c r="J467" s="10" t="s">
        <v>593</v>
      </c>
      <c r="K467" s="10" t="s">
        <v>593</v>
      </c>
      <c r="L467" s="4"/>
    </row>
    <row r="468" spans="1:12">
      <c r="A468" s="4"/>
      <c r="B468" s="42" t="s">
        <v>1299</v>
      </c>
      <c r="C468" s="26" t="s">
        <v>522</v>
      </c>
      <c r="D468" s="10" t="str">
        <f>VLOOKUP(B468,[11]LPN!$A:$C,3,FALSE)</f>
        <v xml:space="preserve">Soleco 15/40 </v>
      </c>
      <c r="E468" s="4"/>
      <c r="F468" s="10" t="s">
        <v>1300</v>
      </c>
      <c r="G468" s="10"/>
      <c r="H468" s="10"/>
      <c r="I468" s="20">
        <f t="shared" si="8"/>
        <v>0</v>
      </c>
      <c r="J468" s="10" t="s">
        <v>593</v>
      </c>
      <c r="K468" s="10" t="s">
        <v>593</v>
      </c>
      <c r="L468" s="4"/>
    </row>
    <row r="469" spans="1:12" hidden="1">
      <c r="A469" s="4"/>
      <c r="B469" s="4" t="s">
        <v>583</v>
      </c>
      <c r="C469" s="10" t="s">
        <v>1060</v>
      </c>
      <c r="D469" s="10" t="s">
        <v>1109</v>
      </c>
      <c r="E469" s="4"/>
      <c r="F469" s="10" t="s">
        <v>1301</v>
      </c>
      <c r="G469" s="10"/>
      <c r="H469" s="10"/>
      <c r="I469" s="20">
        <f t="shared" si="8"/>
        <v>0</v>
      </c>
      <c r="J469" s="10" t="s">
        <v>1147</v>
      </c>
      <c r="K469" s="10">
        <v>1000</v>
      </c>
      <c r="L469" s="4"/>
    </row>
    <row r="470" spans="1:12" hidden="1">
      <c r="A470" s="4"/>
      <c r="B470" s="4" t="s">
        <v>583</v>
      </c>
      <c r="C470" s="10" t="s">
        <v>1060</v>
      </c>
      <c r="D470" s="10" t="s">
        <v>1109</v>
      </c>
      <c r="E470" s="4"/>
      <c r="F470" s="10" t="s">
        <v>1302</v>
      </c>
      <c r="G470" s="10"/>
      <c r="H470" s="10"/>
      <c r="I470" s="20">
        <f t="shared" si="8"/>
        <v>0</v>
      </c>
      <c r="J470" s="10" t="s">
        <v>1147</v>
      </c>
      <c r="K470" s="10">
        <v>1000</v>
      </c>
      <c r="L470" s="4"/>
    </row>
    <row r="471" spans="1:12">
      <c r="A471" s="4"/>
      <c r="B471" s="42" t="s">
        <v>1303</v>
      </c>
      <c r="C471" s="26" t="s">
        <v>522</v>
      </c>
      <c r="D471" s="10" t="str">
        <f>VLOOKUP(B471,[11]LPN!$A:$C,3,FALSE)</f>
        <v>Soleco 15/40</v>
      </c>
      <c r="E471" s="4"/>
      <c r="F471" s="10" t="s">
        <v>1304</v>
      </c>
      <c r="G471" s="10"/>
      <c r="H471" s="10"/>
      <c r="I471" s="20">
        <f t="shared" si="8"/>
        <v>0</v>
      </c>
      <c r="J471" s="10" t="s">
        <v>593</v>
      </c>
      <c r="K471" s="10" t="s">
        <v>593</v>
      </c>
      <c r="L471" s="4"/>
    </row>
    <row r="472" spans="1:12">
      <c r="A472" s="4"/>
      <c r="B472" s="42" t="s">
        <v>1305</v>
      </c>
      <c r="C472" s="26" t="s">
        <v>522</v>
      </c>
      <c r="D472" s="10" t="str">
        <f>VLOOKUP(B472,[11]LPN!$A:$C,3,FALSE)</f>
        <v>solinet 60/50</v>
      </c>
      <c r="E472" s="4"/>
      <c r="F472" s="10" t="s">
        <v>1306</v>
      </c>
      <c r="G472" s="10"/>
      <c r="H472" s="10"/>
      <c r="I472" s="20">
        <f t="shared" si="8"/>
        <v>0</v>
      </c>
      <c r="J472" s="10" t="s">
        <v>640</v>
      </c>
      <c r="K472" s="10">
        <v>1</v>
      </c>
      <c r="L472" s="4"/>
    </row>
    <row r="473" spans="1:12">
      <c r="A473" s="4"/>
      <c r="B473" s="42" t="s">
        <v>1307</v>
      </c>
      <c r="C473" s="26" t="s">
        <v>522</v>
      </c>
      <c r="D473" s="10" t="str">
        <f>VLOOKUP(B473,[11]LPN!$A:$C,3,FALSE)</f>
        <v>Solinet porte dalle</v>
      </c>
      <c r="E473" s="4"/>
      <c r="F473" s="10" t="s">
        <v>1308</v>
      </c>
      <c r="G473" s="10"/>
      <c r="H473" s="10"/>
      <c r="I473" s="20">
        <f t="shared" si="8"/>
        <v>0</v>
      </c>
      <c r="J473" s="10" t="s">
        <v>593</v>
      </c>
      <c r="K473" s="10" t="s">
        <v>593</v>
      </c>
      <c r="L473" s="4"/>
    </row>
    <row r="474" spans="1:12">
      <c r="A474" s="4"/>
      <c r="B474" s="42" t="s">
        <v>1309</v>
      </c>
      <c r="C474" s="26" t="s">
        <v>522</v>
      </c>
      <c r="D474" s="10" t="str">
        <f>VLOOKUP(B474,[11]LPN!$A:$C,3,FALSE)</f>
        <v>Solinet 60/50</v>
      </c>
      <c r="E474" s="4"/>
      <c r="F474" s="10" t="s">
        <v>1310</v>
      </c>
      <c r="G474" s="10"/>
      <c r="H474" s="10"/>
      <c r="I474" s="20">
        <f t="shared" si="8"/>
        <v>0</v>
      </c>
      <c r="J474" s="10" t="s">
        <v>640</v>
      </c>
      <c r="K474" s="10">
        <v>1</v>
      </c>
      <c r="L474" s="4"/>
    </row>
    <row r="475" spans="1:12">
      <c r="A475" s="4"/>
      <c r="B475" s="42" t="s">
        <v>1311</v>
      </c>
      <c r="C475" s="26" t="s">
        <v>522</v>
      </c>
      <c r="D475" s="10" t="str">
        <f>VLOOKUP(B475,[11]LPN!$A:$C,3,FALSE)</f>
        <v>Solinet 60/50</v>
      </c>
      <c r="E475" s="4"/>
      <c r="F475" s="10" t="s">
        <v>1312</v>
      </c>
      <c r="G475" s="10"/>
      <c r="H475" s="10"/>
      <c r="I475" s="20">
        <f t="shared" si="8"/>
        <v>0</v>
      </c>
      <c r="J475" s="10" t="s">
        <v>640</v>
      </c>
      <c r="K475" s="10">
        <v>1</v>
      </c>
      <c r="L475" s="4"/>
    </row>
    <row r="476" spans="1:12">
      <c r="A476" s="4"/>
      <c r="B476" s="42" t="s">
        <v>1313</v>
      </c>
      <c r="C476" s="26" t="s">
        <v>522</v>
      </c>
      <c r="D476" s="10" t="str">
        <f>VLOOKUP(B476,[11]LPN!$A:$C,3,FALSE)</f>
        <v>Solinet porte dalle</v>
      </c>
      <c r="E476" s="4"/>
      <c r="F476" s="10" t="s">
        <v>1314</v>
      </c>
      <c r="G476" s="10"/>
      <c r="H476" s="10"/>
      <c r="I476" s="20">
        <f t="shared" si="8"/>
        <v>0</v>
      </c>
      <c r="J476" s="10" t="s">
        <v>593</v>
      </c>
      <c r="K476" s="10" t="s">
        <v>593</v>
      </c>
      <c r="L476" s="4"/>
    </row>
    <row r="477" spans="1:12">
      <c r="A477" s="4"/>
      <c r="B477" s="42" t="s">
        <v>1315</v>
      </c>
      <c r="C477" s="26" t="s">
        <v>522</v>
      </c>
      <c r="D477" s="10" t="str">
        <f>VLOOKUP(B477,[11]LPN!$A:$C,3,FALSE)</f>
        <v>Solinet porte dalle</v>
      </c>
      <c r="E477" s="4"/>
      <c r="F477" s="10" t="s">
        <v>1316</v>
      </c>
      <c r="G477" s="10"/>
      <c r="H477" s="10"/>
      <c r="I477" s="20">
        <f t="shared" si="8"/>
        <v>0</v>
      </c>
      <c r="J477" s="10" t="s">
        <v>593</v>
      </c>
      <c r="K477" s="10" t="s">
        <v>593</v>
      </c>
      <c r="L477" s="4"/>
    </row>
    <row r="478" spans="1:12" hidden="1">
      <c r="A478" s="4"/>
      <c r="B478" s="4" t="s">
        <v>583</v>
      </c>
      <c r="C478" s="10" t="s">
        <v>1060</v>
      </c>
      <c r="D478" s="10" t="s">
        <v>1067</v>
      </c>
      <c r="E478" s="4"/>
      <c r="F478" s="26" t="s">
        <v>1317</v>
      </c>
      <c r="G478" s="19"/>
      <c r="H478" s="19"/>
      <c r="I478" s="20">
        <f t="shared" si="8"/>
        <v>0</v>
      </c>
      <c r="J478" s="10" t="s">
        <v>1147</v>
      </c>
      <c r="K478" s="10">
        <v>1000</v>
      </c>
      <c r="L478" s="5"/>
    </row>
    <row r="479" spans="1:12" hidden="1">
      <c r="A479" s="4"/>
      <c r="B479" s="4" t="s">
        <v>583</v>
      </c>
      <c r="C479" s="10" t="s">
        <v>1060</v>
      </c>
      <c r="D479" s="10" t="s">
        <v>1088</v>
      </c>
      <c r="E479" s="4"/>
      <c r="F479" s="10" t="s">
        <v>1318</v>
      </c>
      <c r="G479" s="19"/>
      <c r="H479" s="19"/>
      <c r="I479" s="20">
        <f t="shared" si="8"/>
        <v>0</v>
      </c>
      <c r="J479" s="10" t="s">
        <v>1147</v>
      </c>
      <c r="K479" s="10">
        <v>1000</v>
      </c>
      <c r="L479" s="5"/>
    </row>
    <row r="480" spans="1:12" hidden="1">
      <c r="A480" s="4"/>
      <c r="B480" s="4" t="s">
        <v>583</v>
      </c>
      <c r="C480" s="10" t="s">
        <v>1060</v>
      </c>
      <c r="D480" s="10" t="s">
        <v>1069</v>
      </c>
      <c r="E480" s="4"/>
      <c r="F480" s="10" t="s">
        <v>1319</v>
      </c>
      <c r="G480" s="19"/>
      <c r="H480" s="19"/>
      <c r="I480" s="20">
        <f t="shared" si="8"/>
        <v>0</v>
      </c>
      <c r="J480" s="10" t="s">
        <v>1147</v>
      </c>
      <c r="K480" s="10">
        <v>1000</v>
      </c>
      <c r="L480" s="5"/>
    </row>
    <row r="481" spans="1:12" hidden="1">
      <c r="A481" s="4"/>
      <c r="B481" s="4" t="s">
        <v>583</v>
      </c>
      <c r="C481" s="10" t="s">
        <v>1060</v>
      </c>
      <c r="D481" s="10" t="s">
        <v>1069</v>
      </c>
      <c r="E481" s="4"/>
      <c r="F481" s="10" t="s">
        <v>1320</v>
      </c>
      <c r="G481" s="19"/>
      <c r="H481" s="19"/>
      <c r="I481" s="20">
        <f t="shared" si="8"/>
        <v>0</v>
      </c>
      <c r="J481" s="10" t="s">
        <v>1147</v>
      </c>
      <c r="K481" s="10">
        <v>1000</v>
      </c>
      <c r="L481" s="5"/>
    </row>
    <row r="482" spans="1:12" hidden="1">
      <c r="A482" s="4"/>
      <c r="B482" s="4" t="s">
        <v>583</v>
      </c>
      <c r="C482" s="10" t="s">
        <v>1060</v>
      </c>
      <c r="D482" s="10" t="s">
        <v>1069</v>
      </c>
      <c r="E482" s="4"/>
      <c r="F482" s="26" t="s">
        <v>1321</v>
      </c>
      <c r="G482" s="19"/>
      <c r="H482" s="19"/>
      <c r="I482" s="20">
        <f t="shared" si="8"/>
        <v>0</v>
      </c>
      <c r="J482" s="10" t="s">
        <v>1147</v>
      </c>
      <c r="K482" s="10">
        <v>1000</v>
      </c>
      <c r="L482" s="5"/>
    </row>
    <row r="483" spans="1:12" hidden="1">
      <c r="A483" s="4"/>
      <c r="B483" s="4" t="s">
        <v>583</v>
      </c>
      <c r="C483" s="10" t="s">
        <v>1060</v>
      </c>
      <c r="D483" s="10" t="s">
        <v>1069</v>
      </c>
      <c r="E483" s="4"/>
      <c r="F483" s="10" t="s">
        <v>1322</v>
      </c>
      <c r="G483" s="19"/>
      <c r="H483" s="19"/>
      <c r="I483" s="20">
        <f t="shared" si="8"/>
        <v>0</v>
      </c>
      <c r="J483" s="10" t="s">
        <v>1147</v>
      </c>
      <c r="K483" s="10">
        <v>1000</v>
      </c>
      <c r="L483" s="5"/>
    </row>
    <row r="484" spans="1:12" hidden="1">
      <c r="A484" s="4"/>
      <c r="B484" s="4" t="s">
        <v>583</v>
      </c>
      <c r="C484" s="10" t="s">
        <v>1060</v>
      </c>
      <c r="D484" s="10" t="s">
        <v>1069</v>
      </c>
      <c r="E484" s="4"/>
      <c r="F484" s="10" t="s">
        <v>1323</v>
      </c>
      <c r="G484" s="19"/>
      <c r="H484" s="19"/>
      <c r="I484" s="20">
        <f t="shared" si="8"/>
        <v>0</v>
      </c>
      <c r="J484" s="10" t="s">
        <v>1063</v>
      </c>
      <c r="K484" s="10">
        <v>1</v>
      </c>
      <c r="L484" s="5"/>
    </row>
    <row r="485" spans="1:12" hidden="1">
      <c r="A485" s="4"/>
      <c r="B485" s="4" t="s">
        <v>583</v>
      </c>
      <c r="C485" s="10" t="s">
        <v>1060</v>
      </c>
      <c r="D485" s="10" t="s">
        <v>1112</v>
      </c>
      <c r="E485" s="4"/>
      <c r="F485" s="10" t="s">
        <v>1324</v>
      </c>
      <c r="G485" s="10"/>
      <c r="H485" s="10"/>
      <c r="I485" s="20">
        <f t="shared" si="8"/>
        <v>0</v>
      </c>
      <c r="J485" s="10" t="s">
        <v>1147</v>
      </c>
      <c r="K485" s="10">
        <v>1000</v>
      </c>
      <c r="L485" s="4"/>
    </row>
    <row r="486" spans="1:12" hidden="1">
      <c r="A486" s="4"/>
      <c r="B486" s="42" t="s">
        <v>1325</v>
      </c>
      <c r="C486" s="26" t="s">
        <v>594</v>
      </c>
      <c r="D486" s="10" t="s">
        <v>1326</v>
      </c>
      <c r="E486" s="4"/>
      <c r="F486" s="10" t="s">
        <v>1327</v>
      </c>
      <c r="G486" s="10"/>
      <c r="H486" s="10"/>
      <c r="I486" s="20">
        <f t="shared" si="8"/>
        <v>0</v>
      </c>
      <c r="J486" s="10" t="s">
        <v>593</v>
      </c>
      <c r="K486" s="10" t="s">
        <v>593</v>
      </c>
      <c r="L486" s="4"/>
    </row>
    <row r="487" spans="1:12" hidden="1">
      <c r="A487" s="4"/>
      <c r="B487" s="42" t="s">
        <v>1328</v>
      </c>
      <c r="C487" s="26" t="s">
        <v>594</v>
      </c>
      <c r="D487" s="10" t="s">
        <v>1329</v>
      </c>
      <c r="E487" s="4"/>
      <c r="F487" s="10" t="s">
        <v>1330</v>
      </c>
      <c r="G487" s="10"/>
      <c r="H487" s="10"/>
      <c r="I487" s="20">
        <f t="shared" si="8"/>
        <v>0</v>
      </c>
      <c r="J487" s="10" t="s">
        <v>593</v>
      </c>
      <c r="K487" s="10" t="s">
        <v>593</v>
      </c>
      <c r="L487" s="4"/>
    </row>
    <row r="488" spans="1:12" hidden="1">
      <c r="A488" s="4"/>
      <c r="B488" s="42" t="s">
        <v>1331</v>
      </c>
      <c r="C488" s="26" t="s">
        <v>594</v>
      </c>
      <c r="D488" s="10" t="s">
        <v>1326</v>
      </c>
      <c r="E488" s="4"/>
      <c r="F488" s="10" t="s">
        <v>1332</v>
      </c>
      <c r="G488" s="10"/>
      <c r="H488" s="10"/>
      <c r="I488" s="20">
        <f t="shared" si="8"/>
        <v>0</v>
      </c>
      <c r="J488" s="10" t="s">
        <v>593</v>
      </c>
      <c r="K488" s="10" t="s">
        <v>593</v>
      </c>
      <c r="L488" s="4"/>
    </row>
    <row r="489" spans="1:12" hidden="1">
      <c r="A489" s="4"/>
      <c r="B489" s="42" t="s">
        <v>1333</v>
      </c>
      <c r="C489" s="26" t="s">
        <v>594</v>
      </c>
      <c r="D489" s="10" t="s">
        <v>1326</v>
      </c>
      <c r="E489" s="4"/>
      <c r="F489" s="10" t="s">
        <v>1334</v>
      </c>
      <c r="G489" s="10"/>
      <c r="H489" s="10"/>
      <c r="I489" s="20">
        <f t="shared" si="8"/>
        <v>0</v>
      </c>
      <c r="J489" s="10" t="s">
        <v>593</v>
      </c>
      <c r="K489" s="10" t="s">
        <v>593</v>
      </c>
      <c r="L489" s="4"/>
    </row>
    <row r="490" spans="1:12" hidden="1">
      <c r="A490" s="4"/>
      <c r="B490" s="42" t="s">
        <v>1335</v>
      </c>
      <c r="C490" s="26" t="s">
        <v>594</v>
      </c>
      <c r="D490" s="10" t="s">
        <v>1326</v>
      </c>
      <c r="E490" s="4"/>
      <c r="F490" s="10" t="s">
        <v>1336</v>
      </c>
      <c r="G490" s="10"/>
      <c r="H490" s="10"/>
      <c r="I490" s="20">
        <f t="shared" si="8"/>
        <v>0</v>
      </c>
      <c r="J490" s="10" t="s">
        <v>593</v>
      </c>
      <c r="K490" s="10" t="s">
        <v>593</v>
      </c>
      <c r="L490" s="4"/>
    </row>
    <row r="491" spans="1:12" hidden="1">
      <c r="A491" s="4"/>
      <c r="B491" s="42" t="s">
        <v>1337</v>
      </c>
      <c r="C491" s="26" t="s">
        <v>594</v>
      </c>
      <c r="D491" s="10" t="s">
        <v>1326</v>
      </c>
      <c r="E491" s="4"/>
      <c r="F491" s="10" t="s">
        <v>1338</v>
      </c>
      <c r="G491" s="10"/>
      <c r="H491" s="10"/>
      <c r="I491" s="20">
        <f t="shared" si="8"/>
        <v>0</v>
      </c>
      <c r="J491" s="10" t="s">
        <v>593</v>
      </c>
      <c r="K491" s="10" t="s">
        <v>593</v>
      </c>
      <c r="L491" s="4"/>
    </row>
    <row r="492" spans="1:12" hidden="1">
      <c r="A492" s="4"/>
      <c r="B492" s="42" t="s">
        <v>1339</v>
      </c>
      <c r="C492" s="26" t="s">
        <v>594</v>
      </c>
      <c r="D492" s="10" t="s">
        <v>1329</v>
      </c>
      <c r="E492" s="4"/>
      <c r="F492" s="10" t="s">
        <v>1340</v>
      </c>
      <c r="G492" s="10"/>
      <c r="H492" s="10"/>
      <c r="I492" s="20">
        <f t="shared" si="8"/>
        <v>0</v>
      </c>
      <c r="J492" s="10" t="s">
        <v>593</v>
      </c>
      <c r="K492" s="10" t="s">
        <v>593</v>
      </c>
      <c r="L492" s="4"/>
    </row>
    <row r="493" spans="1:12" hidden="1">
      <c r="A493" s="4"/>
      <c r="B493" s="42" t="s">
        <v>583</v>
      </c>
      <c r="C493" s="10" t="s">
        <v>158</v>
      </c>
      <c r="D493" s="10" t="s">
        <v>159</v>
      </c>
      <c r="E493" s="4"/>
      <c r="F493" s="26" t="s">
        <v>1341</v>
      </c>
      <c r="G493" s="10"/>
      <c r="H493" s="10"/>
      <c r="I493" s="20">
        <f t="shared" si="8"/>
        <v>0</v>
      </c>
      <c r="J493" s="10" t="s">
        <v>586</v>
      </c>
      <c r="K493" s="10">
        <v>1</v>
      </c>
      <c r="L493" s="4"/>
    </row>
    <row r="494" spans="1:12" hidden="1">
      <c r="A494" s="4"/>
      <c r="B494" s="42" t="s">
        <v>583</v>
      </c>
      <c r="C494" s="10" t="s">
        <v>158</v>
      </c>
      <c r="D494" s="10" t="s">
        <v>159</v>
      </c>
      <c r="E494" s="4"/>
      <c r="F494" s="26" t="s">
        <v>164</v>
      </c>
      <c r="G494" s="10"/>
      <c r="H494" s="10"/>
      <c r="I494" s="20">
        <f t="shared" si="8"/>
        <v>0</v>
      </c>
      <c r="J494" s="10" t="s">
        <v>586</v>
      </c>
      <c r="K494" s="10">
        <v>1</v>
      </c>
      <c r="L494" s="4"/>
    </row>
    <row r="495" spans="1:12" hidden="1">
      <c r="A495" s="4"/>
      <c r="B495" s="34" t="s">
        <v>583</v>
      </c>
      <c r="C495" s="10" t="s">
        <v>629</v>
      </c>
      <c r="D495" s="10" t="s">
        <v>630</v>
      </c>
      <c r="E495" s="4"/>
      <c r="F495" s="10" t="s">
        <v>1342</v>
      </c>
      <c r="G495" s="10"/>
      <c r="H495" s="10"/>
      <c r="I495" s="20">
        <f t="shared" si="8"/>
        <v>0</v>
      </c>
      <c r="J495" s="10" t="s">
        <v>632</v>
      </c>
      <c r="K495" s="10">
        <v>1</v>
      </c>
      <c r="L495" s="4"/>
    </row>
    <row r="496" spans="1:12" hidden="1">
      <c r="A496" s="4"/>
      <c r="B496" s="42" t="s">
        <v>583</v>
      </c>
      <c r="C496" s="10" t="s">
        <v>158</v>
      </c>
      <c r="D496" s="10" t="s">
        <v>159</v>
      </c>
      <c r="E496" s="4"/>
      <c r="F496" s="26" t="s">
        <v>160</v>
      </c>
      <c r="G496" s="10"/>
      <c r="H496" s="10"/>
      <c r="I496" s="20">
        <f t="shared" si="8"/>
        <v>0</v>
      </c>
      <c r="J496" s="10" t="s">
        <v>586</v>
      </c>
      <c r="K496" s="10">
        <v>1</v>
      </c>
      <c r="L496" s="4"/>
    </row>
    <row r="497" spans="1:12" hidden="1">
      <c r="A497" s="4"/>
      <c r="B497" s="42" t="s">
        <v>583</v>
      </c>
      <c r="C497" s="10" t="s">
        <v>158</v>
      </c>
      <c r="D497" s="10" t="s">
        <v>159</v>
      </c>
      <c r="E497" s="4"/>
      <c r="F497" s="26" t="s">
        <v>1343</v>
      </c>
      <c r="G497" s="10"/>
      <c r="H497" s="10"/>
      <c r="I497" s="20">
        <f t="shared" si="8"/>
        <v>0</v>
      </c>
      <c r="J497" s="10" t="s">
        <v>586</v>
      </c>
      <c r="K497" s="10">
        <v>1</v>
      </c>
      <c r="L497" s="4"/>
    </row>
    <row r="498" spans="1:12" hidden="1">
      <c r="A498" s="4"/>
      <c r="B498" s="42" t="s">
        <v>583</v>
      </c>
      <c r="C498" s="10" t="s">
        <v>158</v>
      </c>
      <c r="D498" s="10" t="s">
        <v>159</v>
      </c>
      <c r="E498" s="4"/>
      <c r="F498" s="26" t="s">
        <v>1344</v>
      </c>
      <c r="G498" s="10"/>
      <c r="H498" s="10"/>
      <c r="I498" s="20">
        <f t="shared" si="8"/>
        <v>0</v>
      </c>
      <c r="J498" s="10" t="s">
        <v>586</v>
      </c>
      <c r="K498" s="10">
        <v>1</v>
      </c>
      <c r="L498" s="4"/>
    </row>
    <row r="499" spans="1:12" hidden="1">
      <c r="A499" s="4"/>
      <c r="B499" s="4" t="s">
        <v>583</v>
      </c>
      <c r="C499" s="10" t="s">
        <v>158</v>
      </c>
      <c r="D499" s="10" t="s">
        <v>1345</v>
      </c>
      <c r="E499" s="4"/>
      <c r="F499" s="10" t="s">
        <v>1346</v>
      </c>
      <c r="G499" s="10"/>
      <c r="H499" s="10"/>
      <c r="I499" s="20">
        <f t="shared" si="8"/>
        <v>0</v>
      </c>
      <c r="J499" s="10" t="s">
        <v>586</v>
      </c>
      <c r="K499" s="10">
        <v>1</v>
      </c>
      <c r="L499" s="4"/>
    </row>
    <row r="500" spans="1:12" hidden="1">
      <c r="A500" s="4"/>
      <c r="B500" s="42" t="s">
        <v>583</v>
      </c>
      <c r="C500" s="10" t="s">
        <v>158</v>
      </c>
      <c r="D500" s="10" t="s">
        <v>1347</v>
      </c>
      <c r="E500" s="4"/>
      <c r="F500" s="10" t="s">
        <v>1348</v>
      </c>
      <c r="G500" s="10"/>
      <c r="H500" s="10"/>
      <c r="I500" s="20">
        <f t="shared" si="8"/>
        <v>0</v>
      </c>
      <c r="J500" s="10" t="s">
        <v>1349</v>
      </c>
      <c r="K500" s="10">
        <v>1</v>
      </c>
      <c r="L500" s="4"/>
    </row>
    <row r="501" spans="1:12" hidden="1">
      <c r="A501" s="4"/>
      <c r="B501" s="34" t="s">
        <v>583</v>
      </c>
      <c r="C501" s="10" t="s">
        <v>629</v>
      </c>
      <c r="D501" s="10" t="s">
        <v>630</v>
      </c>
      <c r="E501" s="4"/>
      <c r="F501" s="10" t="s">
        <v>1350</v>
      </c>
      <c r="G501" s="10"/>
      <c r="H501" s="10"/>
      <c r="I501" s="20">
        <f t="shared" si="8"/>
        <v>0</v>
      </c>
      <c r="J501" s="10" t="s">
        <v>632</v>
      </c>
      <c r="K501" s="10">
        <v>1</v>
      </c>
      <c r="L501" s="4"/>
    </row>
    <row r="502" spans="1:12" hidden="1">
      <c r="A502" s="4"/>
      <c r="B502" s="34" t="s">
        <v>583</v>
      </c>
      <c r="C502" s="10" t="s">
        <v>629</v>
      </c>
      <c r="D502" s="10" t="s">
        <v>1351</v>
      </c>
      <c r="E502" s="4"/>
      <c r="F502" s="10" t="s">
        <v>1352</v>
      </c>
      <c r="G502" s="10"/>
      <c r="H502" s="10"/>
      <c r="I502" s="20">
        <f t="shared" si="8"/>
        <v>0</v>
      </c>
      <c r="J502" s="10" t="s">
        <v>632</v>
      </c>
      <c r="K502" s="10">
        <v>1</v>
      </c>
      <c r="L502" s="4"/>
    </row>
    <row r="503" spans="1:12" hidden="1">
      <c r="A503" s="4"/>
      <c r="B503" s="34" t="s">
        <v>1353</v>
      </c>
      <c r="C503" s="10" t="s">
        <v>629</v>
      </c>
      <c r="D503" s="10" t="s">
        <v>1354</v>
      </c>
      <c r="E503" s="4"/>
      <c r="F503" s="10" t="s">
        <v>1355</v>
      </c>
      <c r="G503" s="10"/>
      <c r="H503" s="10"/>
      <c r="I503" s="20">
        <f t="shared" si="8"/>
        <v>0</v>
      </c>
      <c r="J503" s="10" t="s">
        <v>632</v>
      </c>
      <c r="K503" s="10">
        <v>1</v>
      </c>
      <c r="L503" s="4"/>
    </row>
    <row r="504" spans="1:12" hidden="1">
      <c r="A504" s="4"/>
      <c r="B504" s="34" t="s">
        <v>1356</v>
      </c>
      <c r="C504" s="10" t="s">
        <v>629</v>
      </c>
      <c r="D504" s="10" t="s">
        <v>1354</v>
      </c>
      <c r="E504" s="4"/>
      <c r="F504" s="10" t="s">
        <v>1357</v>
      </c>
      <c r="G504" s="10"/>
      <c r="H504" s="10"/>
      <c r="I504" s="20">
        <f t="shared" si="8"/>
        <v>0</v>
      </c>
      <c r="J504" s="10" t="s">
        <v>632</v>
      </c>
      <c r="K504" s="10">
        <v>1</v>
      </c>
      <c r="L504" s="4"/>
    </row>
    <row r="505" spans="1:12" hidden="1">
      <c r="A505" s="4"/>
      <c r="B505" s="4" t="s">
        <v>583</v>
      </c>
      <c r="C505" s="10" t="s">
        <v>1060</v>
      </c>
      <c r="D505" s="10" t="s">
        <v>1071</v>
      </c>
      <c r="E505" s="4"/>
      <c r="F505" s="26" t="s">
        <v>1358</v>
      </c>
      <c r="G505" s="19"/>
      <c r="H505" s="19"/>
      <c r="I505" s="20">
        <f t="shared" si="8"/>
        <v>0</v>
      </c>
      <c r="J505" s="10" t="s">
        <v>1147</v>
      </c>
      <c r="K505" s="10">
        <v>1000</v>
      </c>
      <c r="L505" s="5"/>
    </row>
    <row r="506" spans="1:12" hidden="1">
      <c r="A506" s="4"/>
      <c r="B506" s="4" t="s">
        <v>583</v>
      </c>
      <c r="C506" s="10" t="s">
        <v>1060</v>
      </c>
      <c r="D506" s="10" t="s">
        <v>1071</v>
      </c>
      <c r="E506" s="4"/>
      <c r="F506" s="26" t="s">
        <v>1359</v>
      </c>
      <c r="G506" s="19"/>
      <c r="H506" s="19"/>
      <c r="I506" s="20">
        <f t="shared" si="8"/>
        <v>0</v>
      </c>
      <c r="J506" s="10" t="s">
        <v>1147</v>
      </c>
      <c r="K506" s="10">
        <v>1000</v>
      </c>
      <c r="L506" s="5"/>
    </row>
    <row r="507" spans="1:12" hidden="1">
      <c r="A507" s="4"/>
      <c r="B507" s="4" t="s">
        <v>583</v>
      </c>
      <c r="C507" s="10" t="s">
        <v>1060</v>
      </c>
      <c r="D507" s="10" t="s">
        <v>1093</v>
      </c>
      <c r="E507" s="4"/>
      <c r="F507" s="26" t="s">
        <v>1360</v>
      </c>
      <c r="G507" s="19"/>
      <c r="H507" s="19"/>
      <c r="I507" s="20">
        <f t="shared" si="8"/>
        <v>0</v>
      </c>
      <c r="J507" s="10" t="s">
        <v>1147</v>
      </c>
      <c r="K507" s="10">
        <v>1000</v>
      </c>
      <c r="L507" s="5"/>
    </row>
    <row r="508" spans="1:12" hidden="1">
      <c r="A508" s="4"/>
      <c r="B508" s="4" t="s">
        <v>583</v>
      </c>
      <c r="C508" s="10" t="s">
        <v>1060</v>
      </c>
      <c r="D508" s="10" t="s">
        <v>1073</v>
      </c>
      <c r="E508" s="4"/>
      <c r="F508" s="10" t="s">
        <v>1361</v>
      </c>
      <c r="G508" s="19"/>
      <c r="H508" s="19"/>
      <c r="I508" s="20">
        <f t="shared" si="8"/>
        <v>0</v>
      </c>
      <c r="J508" s="10" t="s">
        <v>1147</v>
      </c>
      <c r="K508" s="10">
        <v>1000</v>
      </c>
      <c r="L508" s="5"/>
    </row>
    <row r="509" spans="1:12" hidden="1">
      <c r="A509" s="4"/>
      <c r="B509" s="4" t="s">
        <v>583</v>
      </c>
      <c r="C509" s="10" t="s">
        <v>1060</v>
      </c>
      <c r="D509" s="10" t="s">
        <v>1097</v>
      </c>
      <c r="E509" s="4"/>
      <c r="F509" s="26" t="s">
        <v>1362</v>
      </c>
      <c r="G509" s="19"/>
      <c r="H509" s="19"/>
      <c r="I509" s="20">
        <f t="shared" si="8"/>
        <v>0</v>
      </c>
      <c r="J509" s="10" t="s">
        <v>1147</v>
      </c>
      <c r="K509" s="10">
        <v>1000</v>
      </c>
      <c r="L509" s="5"/>
    </row>
    <row r="510" spans="1:12" hidden="1">
      <c r="A510" s="4"/>
      <c r="B510" s="4" t="s">
        <v>583</v>
      </c>
      <c r="C510" s="10" t="s">
        <v>1060</v>
      </c>
      <c r="D510" s="10" t="s">
        <v>1099</v>
      </c>
      <c r="E510" s="4"/>
      <c r="F510" s="26" t="s">
        <v>1363</v>
      </c>
      <c r="G510" s="19"/>
      <c r="H510" s="19"/>
      <c r="I510" s="20">
        <f t="shared" si="8"/>
        <v>0</v>
      </c>
      <c r="J510" s="10" t="s">
        <v>1147</v>
      </c>
      <c r="K510" s="10">
        <v>1000</v>
      </c>
      <c r="L510" s="5"/>
    </row>
    <row r="511" spans="1:12" hidden="1">
      <c r="A511" s="4"/>
      <c r="B511" s="4" t="s">
        <v>583</v>
      </c>
      <c r="C511" s="10" t="s">
        <v>1060</v>
      </c>
      <c r="D511" s="10" t="s">
        <v>1065</v>
      </c>
      <c r="E511" s="4"/>
      <c r="F511" s="26" t="s">
        <v>1364</v>
      </c>
      <c r="G511" s="19"/>
      <c r="H511" s="19"/>
      <c r="I511" s="20">
        <f t="shared" si="8"/>
        <v>0</v>
      </c>
      <c r="J511" s="10" t="s">
        <v>1063</v>
      </c>
      <c r="K511" s="10">
        <v>1</v>
      </c>
      <c r="L511" s="5"/>
    </row>
    <row r="512" spans="1:12" hidden="1">
      <c r="A512" s="4"/>
      <c r="B512" s="4" t="s">
        <v>583</v>
      </c>
      <c r="C512" s="10" t="s">
        <v>1060</v>
      </c>
      <c r="D512" s="10" t="s">
        <v>1101</v>
      </c>
      <c r="E512" s="8"/>
      <c r="F512" s="26" t="s">
        <v>1365</v>
      </c>
      <c r="G512" s="19"/>
      <c r="H512" s="19"/>
      <c r="I512" s="20">
        <f t="shared" si="8"/>
        <v>0</v>
      </c>
      <c r="J512" s="10" t="s">
        <v>1147</v>
      </c>
      <c r="K512" s="10">
        <v>1000</v>
      </c>
      <c r="L512" s="5"/>
    </row>
    <row r="513" spans="1:12" hidden="1">
      <c r="A513" s="4"/>
      <c r="B513" s="4" t="s">
        <v>583</v>
      </c>
      <c r="C513" s="10" t="s">
        <v>1060</v>
      </c>
      <c r="D513" s="10" t="s">
        <v>1103</v>
      </c>
      <c r="E513" s="4"/>
      <c r="F513" s="10" t="s">
        <v>1366</v>
      </c>
      <c r="G513" s="19"/>
      <c r="H513" s="19"/>
      <c r="I513" s="20">
        <f t="shared" si="8"/>
        <v>0</v>
      </c>
      <c r="J513" s="10" t="s">
        <v>1147</v>
      </c>
      <c r="K513" s="10">
        <v>1000</v>
      </c>
      <c r="L513" s="5"/>
    </row>
    <row r="514" spans="1:12" hidden="1">
      <c r="A514" s="4"/>
      <c r="B514" s="4" t="s">
        <v>583</v>
      </c>
      <c r="C514" s="10" t="s">
        <v>1060</v>
      </c>
      <c r="D514" s="10" t="s">
        <v>1075</v>
      </c>
      <c r="E514" s="4"/>
      <c r="F514" s="10" t="s">
        <v>1367</v>
      </c>
      <c r="G514" s="19"/>
      <c r="H514" s="19"/>
      <c r="I514" s="20">
        <f t="shared" si="8"/>
        <v>0</v>
      </c>
      <c r="J514" s="10" t="s">
        <v>1147</v>
      </c>
      <c r="K514" s="10">
        <v>1000</v>
      </c>
      <c r="L514" s="5"/>
    </row>
    <row r="515" spans="1:12" hidden="1">
      <c r="A515" s="4"/>
      <c r="B515" s="4" t="s">
        <v>583</v>
      </c>
      <c r="C515" s="10" t="s">
        <v>1060</v>
      </c>
      <c r="D515" s="10" t="s">
        <v>1105</v>
      </c>
      <c r="E515" s="4"/>
      <c r="F515" s="10" t="s">
        <v>1368</v>
      </c>
      <c r="G515" s="19"/>
      <c r="H515" s="19"/>
      <c r="I515" s="20">
        <f t="shared" si="8"/>
        <v>0</v>
      </c>
      <c r="J515" s="10" t="s">
        <v>1147</v>
      </c>
      <c r="K515" s="10">
        <v>1000</v>
      </c>
      <c r="L515" s="5"/>
    </row>
    <row r="516" spans="1:12" hidden="1">
      <c r="A516" s="4"/>
      <c r="B516" s="34" t="s">
        <v>1369</v>
      </c>
      <c r="C516" s="10" t="s">
        <v>629</v>
      </c>
      <c r="D516" s="10" t="s">
        <v>1354</v>
      </c>
      <c r="E516" s="4"/>
      <c r="F516" s="10" t="s">
        <v>1370</v>
      </c>
      <c r="G516" s="10"/>
      <c r="H516" s="10"/>
      <c r="I516" s="20">
        <f t="shared" si="8"/>
        <v>0</v>
      </c>
      <c r="J516" s="10" t="s">
        <v>632</v>
      </c>
      <c r="K516" s="10">
        <v>1</v>
      </c>
      <c r="L516" s="4"/>
    </row>
    <row r="517" spans="1:12" hidden="1">
      <c r="A517" s="4"/>
      <c r="B517" s="34" t="s">
        <v>1371</v>
      </c>
      <c r="C517" s="10" t="s">
        <v>629</v>
      </c>
      <c r="D517" s="10" t="s">
        <v>1354</v>
      </c>
      <c r="E517" s="4"/>
      <c r="F517" s="10" t="s">
        <v>1372</v>
      </c>
      <c r="G517" s="10"/>
      <c r="H517" s="10"/>
      <c r="I517" s="20">
        <f t="shared" si="8"/>
        <v>0</v>
      </c>
      <c r="J517" s="10" t="s">
        <v>632</v>
      </c>
      <c r="K517" s="10">
        <v>1</v>
      </c>
      <c r="L517" s="4"/>
    </row>
    <row r="518" spans="1:12" hidden="1">
      <c r="A518" s="4"/>
      <c r="B518" s="34" t="s">
        <v>1373</v>
      </c>
      <c r="C518" s="10" t="s">
        <v>629</v>
      </c>
      <c r="D518" s="10" t="s">
        <v>1354</v>
      </c>
      <c r="E518" s="4"/>
      <c r="F518" s="10" t="s">
        <v>1374</v>
      </c>
      <c r="G518" s="10"/>
      <c r="H518" s="10"/>
      <c r="I518" s="20">
        <f t="shared" si="8"/>
        <v>0</v>
      </c>
      <c r="J518" s="10" t="s">
        <v>632</v>
      </c>
      <c r="K518" s="10">
        <v>1</v>
      </c>
      <c r="L518" s="4"/>
    </row>
    <row r="519" spans="1:12" hidden="1">
      <c r="A519" s="4"/>
      <c r="B519" s="34" t="s">
        <v>1375</v>
      </c>
      <c r="C519" s="10" t="s">
        <v>629</v>
      </c>
      <c r="D519" s="10" t="s">
        <v>1354</v>
      </c>
      <c r="E519" s="4"/>
      <c r="F519" s="10" t="s">
        <v>1376</v>
      </c>
      <c r="G519" s="10"/>
      <c r="H519" s="10"/>
      <c r="I519" s="20">
        <f t="shared" si="8"/>
        <v>0</v>
      </c>
      <c r="J519" s="10" t="s">
        <v>632</v>
      </c>
      <c r="K519" s="10">
        <v>1</v>
      </c>
      <c r="L519" s="4"/>
    </row>
    <row r="520" spans="1:12" hidden="1">
      <c r="A520" s="4"/>
      <c r="B520" s="34" t="s">
        <v>1377</v>
      </c>
      <c r="C520" s="10" t="s">
        <v>629</v>
      </c>
      <c r="D520" s="10" t="s">
        <v>1354</v>
      </c>
      <c r="E520" s="4"/>
      <c r="F520" s="10" t="s">
        <v>1378</v>
      </c>
      <c r="G520" s="10"/>
      <c r="H520" s="10"/>
      <c r="I520" s="20">
        <f t="shared" si="8"/>
        <v>0</v>
      </c>
      <c r="J520" s="10" t="s">
        <v>632</v>
      </c>
      <c r="K520" s="10">
        <v>1</v>
      </c>
      <c r="L520" s="4"/>
    </row>
    <row r="521" spans="1:12" hidden="1">
      <c r="A521" s="4"/>
      <c r="B521" s="34" t="s">
        <v>1379</v>
      </c>
      <c r="C521" s="10" t="s">
        <v>629</v>
      </c>
      <c r="D521" s="10" t="s">
        <v>1354</v>
      </c>
      <c r="E521" s="4"/>
      <c r="F521" s="10" t="s">
        <v>1380</v>
      </c>
      <c r="G521" s="10"/>
      <c r="H521" s="10"/>
      <c r="I521" s="20">
        <f t="shared" si="8"/>
        <v>0</v>
      </c>
      <c r="J521" s="10" t="s">
        <v>632</v>
      </c>
      <c r="K521" s="10">
        <v>1</v>
      </c>
      <c r="L521" s="4"/>
    </row>
    <row r="522" spans="1:12" hidden="1">
      <c r="A522" s="4"/>
      <c r="B522" s="34" t="s">
        <v>1381</v>
      </c>
      <c r="C522" s="10" t="s">
        <v>629</v>
      </c>
      <c r="D522" s="10" t="s">
        <v>1354</v>
      </c>
      <c r="E522" s="4"/>
      <c r="F522" s="10" t="s">
        <v>1382</v>
      </c>
      <c r="G522" s="10"/>
      <c r="H522" s="10"/>
      <c r="I522" s="20">
        <f t="shared" si="8"/>
        <v>0</v>
      </c>
      <c r="J522" s="10" t="s">
        <v>632</v>
      </c>
      <c r="K522" s="10">
        <v>1</v>
      </c>
      <c r="L522" s="4"/>
    </row>
    <row r="523" spans="1:12" hidden="1">
      <c r="A523" s="4"/>
      <c r="B523" s="34" t="s">
        <v>1383</v>
      </c>
      <c r="C523" s="10" t="s">
        <v>629</v>
      </c>
      <c r="D523" s="10" t="s">
        <v>1354</v>
      </c>
      <c r="E523" s="4"/>
      <c r="F523" s="10" t="s">
        <v>1384</v>
      </c>
      <c r="G523" s="10"/>
      <c r="H523" s="10"/>
      <c r="I523" s="20">
        <f t="shared" si="8"/>
        <v>0</v>
      </c>
      <c r="J523" s="10" t="s">
        <v>632</v>
      </c>
      <c r="K523" s="10">
        <v>1</v>
      </c>
      <c r="L523" s="4"/>
    </row>
    <row r="524" spans="1:12" hidden="1">
      <c r="A524" s="4"/>
      <c r="B524" s="34" t="s">
        <v>1385</v>
      </c>
      <c r="C524" s="10" t="s">
        <v>629</v>
      </c>
      <c r="D524" s="10" t="s">
        <v>1354</v>
      </c>
      <c r="E524" s="4"/>
      <c r="F524" s="10" t="s">
        <v>1386</v>
      </c>
      <c r="G524" s="10"/>
      <c r="H524" s="10"/>
      <c r="I524" s="20">
        <f t="shared" ref="I524:I587" si="9">G524+H524</f>
        <v>0</v>
      </c>
      <c r="J524" s="10" t="s">
        <v>632</v>
      </c>
      <c r="K524" s="10">
        <v>1</v>
      </c>
      <c r="L524" s="4"/>
    </row>
    <row r="525" spans="1:12" hidden="1">
      <c r="A525" s="4"/>
      <c r="B525" s="34" t="s">
        <v>583</v>
      </c>
      <c r="C525" s="10" t="s">
        <v>629</v>
      </c>
      <c r="D525" s="10" t="s">
        <v>1351</v>
      </c>
      <c r="E525" s="4"/>
      <c r="F525" s="10" t="s">
        <v>1387</v>
      </c>
      <c r="G525" s="10"/>
      <c r="H525" s="10"/>
      <c r="I525" s="20">
        <f t="shared" si="9"/>
        <v>0</v>
      </c>
      <c r="J525" s="10" t="s">
        <v>632</v>
      </c>
      <c r="K525" s="10">
        <v>1</v>
      </c>
      <c r="L525" s="4"/>
    </row>
    <row r="526" spans="1:12" hidden="1">
      <c r="A526" s="4"/>
      <c r="B526" s="34" t="s">
        <v>583</v>
      </c>
      <c r="C526" s="10" t="s">
        <v>629</v>
      </c>
      <c r="D526" s="10" t="s">
        <v>1351</v>
      </c>
      <c r="E526" s="4"/>
      <c r="F526" s="10" t="s">
        <v>1388</v>
      </c>
      <c r="G526" s="10"/>
      <c r="H526" s="10"/>
      <c r="I526" s="20">
        <f t="shared" si="9"/>
        <v>0</v>
      </c>
      <c r="J526" s="10" t="s">
        <v>632</v>
      </c>
      <c r="K526" s="10">
        <v>1</v>
      </c>
      <c r="L526" s="4"/>
    </row>
    <row r="527" spans="1:12" hidden="1">
      <c r="A527" s="4"/>
      <c r="B527" s="34" t="s">
        <v>583</v>
      </c>
      <c r="C527" s="10" t="s">
        <v>629</v>
      </c>
      <c r="D527" s="10" t="s">
        <v>1351</v>
      </c>
      <c r="E527" s="4"/>
      <c r="F527" s="10" t="s">
        <v>1389</v>
      </c>
      <c r="G527" s="10"/>
      <c r="H527" s="10"/>
      <c r="I527" s="20">
        <f t="shared" si="9"/>
        <v>0</v>
      </c>
      <c r="J527" s="10" t="s">
        <v>632</v>
      </c>
      <c r="K527" s="10">
        <v>1</v>
      </c>
      <c r="L527" s="4"/>
    </row>
    <row r="528" spans="1:12" hidden="1">
      <c r="A528" s="4"/>
      <c r="B528" s="34" t="s">
        <v>1390</v>
      </c>
      <c r="C528" s="10" t="s">
        <v>629</v>
      </c>
      <c r="D528" s="10" t="s">
        <v>1354</v>
      </c>
      <c r="E528" s="4"/>
      <c r="F528" s="10" t="s">
        <v>1391</v>
      </c>
      <c r="G528" s="10"/>
      <c r="H528" s="10"/>
      <c r="I528" s="20">
        <f t="shared" si="9"/>
        <v>0</v>
      </c>
      <c r="J528" s="10" t="s">
        <v>632</v>
      </c>
      <c r="K528" s="10">
        <v>1</v>
      </c>
      <c r="L528" s="4"/>
    </row>
    <row r="529" spans="1:12" hidden="1">
      <c r="A529" s="4"/>
      <c r="B529" s="34" t="s">
        <v>1392</v>
      </c>
      <c r="C529" s="10" t="s">
        <v>629</v>
      </c>
      <c r="D529" s="10" t="s">
        <v>1354</v>
      </c>
      <c r="E529" s="4"/>
      <c r="F529" s="10" t="s">
        <v>1393</v>
      </c>
      <c r="G529" s="10"/>
      <c r="H529" s="10"/>
      <c r="I529" s="20">
        <f t="shared" si="9"/>
        <v>0</v>
      </c>
      <c r="J529" s="10" t="s">
        <v>632</v>
      </c>
      <c r="K529" s="10">
        <v>1</v>
      </c>
      <c r="L529" s="4"/>
    </row>
    <row r="530" spans="1:12" hidden="1">
      <c r="A530" s="4"/>
      <c r="B530" s="34" t="s">
        <v>1394</v>
      </c>
      <c r="C530" s="10" t="s">
        <v>629</v>
      </c>
      <c r="D530" s="10" t="s">
        <v>1354</v>
      </c>
      <c r="E530" s="4"/>
      <c r="F530" s="10" t="s">
        <v>1395</v>
      </c>
      <c r="G530" s="10"/>
      <c r="H530" s="10"/>
      <c r="I530" s="20">
        <f t="shared" si="9"/>
        <v>0</v>
      </c>
      <c r="J530" s="10" t="s">
        <v>632</v>
      </c>
      <c r="K530" s="10">
        <v>1</v>
      </c>
      <c r="L530" s="4"/>
    </row>
    <row r="531" spans="1:12" hidden="1">
      <c r="A531" s="4"/>
      <c r="B531" s="34" t="s">
        <v>1396</v>
      </c>
      <c r="C531" s="10" t="s">
        <v>629</v>
      </c>
      <c r="D531" s="10" t="s">
        <v>1354</v>
      </c>
      <c r="E531" s="4"/>
      <c r="F531" s="10" t="s">
        <v>1397</v>
      </c>
      <c r="G531" s="10"/>
      <c r="H531" s="10"/>
      <c r="I531" s="20">
        <f t="shared" si="9"/>
        <v>0</v>
      </c>
      <c r="J531" s="10" t="s">
        <v>632</v>
      </c>
      <c r="K531" s="10">
        <v>1</v>
      </c>
      <c r="L531" s="4"/>
    </row>
    <row r="532" spans="1:12" hidden="1">
      <c r="A532" s="4"/>
      <c r="B532" s="4" t="s">
        <v>1398</v>
      </c>
      <c r="C532" s="10" t="s">
        <v>629</v>
      </c>
      <c r="D532" s="10" t="s">
        <v>1399</v>
      </c>
      <c r="E532" s="4"/>
      <c r="F532" s="10" t="s">
        <v>1400</v>
      </c>
      <c r="G532" s="10"/>
      <c r="H532" s="10"/>
      <c r="I532" s="20">
        <f t="shared" si="9"/>
        <v>0</v>
      </c>
      <c r="J532" s="10" t="s">
        <v>632</v>
      </c>
      <c r="K532" s="10">
        <v>1</v>
      </c>
      <c r="L532" s="4"/>
    </row>
    <row r="533" spans="1:12" hidden="1">
      <c r="A533" s="4"/>
      <c r="B533" s="4" t="s">
        <v>1401</v>
      </c>
      <c r="C533" s="10" t="s">
        <v>629</v>
      </c>
      <c r="D533" s="10" t="s">
        <v>1402</v>
      </c>
      <c r="E533" s="4"/>
      <c r="F533" s="10" t="s">
        <v>1403</v>
      </c>
      <c r="G533" s="10"/>
      <c r="H533" s="10"/>
      <c r="I533" s="20">
        <f t="shared" si="9"/>
        <v>0</v>
      </c>
      <c r="J533" s="10" t="s">
        <v>632</v>
      </c>
      <c r="K533" s="10">
        <v>1</v>
      </c>
      <c r="L533" s="4"/>
    </row>
    <row r="534" spans="1:12" hidden="1">
      <c r="A534" s="4"/>
      <c r="B534" s="4" t="s">
        <v>1404</v>
      </c>
      <c r="C534" s="10" t="s">
        <v>629</v>
      </c>
      <c r="D534" s="10" t="s">
        <v>1402</v>
      </c>
      <c r="E534" s="4"/>
      <c r="F534" s="10" t="s">
        <v>1405</v>
      </c>
      <c r="G534" s="10"/>
      <c r="H534" s="10"/>
      <c r="I534" s="20">
        <f t="shared" si="9"/>
        <v>0</v>
      </c>
      <c r="J534" s="10" t="s">
        <v>632</v>
      </c>
      <c r="K534" s="10">
        <v>1</v>
      </c>
      <c r="L534" s="4"/>
    </row>
    <row r="535" spans="1:12" hidden="1">
      <c r="A535" s="4"/>
      <c r="B535" s="4" t="s">
        <v>1406</v>
      </c>
      <c r="C535" s="10" t="s">
        <v>629</v>
      </c>
      <c r="D535" s="10" t="s">
        <v>1402</v>
      </c>
      <c r="E535" s="4"/>
      <c r="F535" s="10" t="s">
        <v>1407</v>
      </c>
      <c r="G535" s="10"/>
      <c r="H535" s="10"/>
      <c r="I535" s="20">
        <f t="shared" si="9"/>
        <v>0</v>
      </c>
      <c r="J535" s="10" t="s">
        <v>632</v>
      </c>
      <c r="K535" s="10">
        <v>1</v>
      </c>
      <c r="L535" s="4"/>
    </row>
    <row r="536" spans="1:12" hidden="1">
      <c r="A536" s="4"/>
      <c r="B536" s="4" t="s">
        <v>1408</v>
      </c>
      <c r="C536" s="10" t="s">
        <v>629</v>
      </c>
      <c r="D536" s="10" t="s">
        <v>1409</v>
      </c>
      <c r="E536" s="4"/>
      <c r="F536" s="10" t="s">
        <v>1410</v>
      </c>
      <c r="G536" s="10"/>
      <c r="H536" s="10"/>
      <c r="I536" s="20">
        <f t="shared" si="9"/>
        <v>0</v>
      </c>
      <c r="J536" s="10" t="s">
        <v>632</v>
      </c>
      <c r="K536" s="10">
        <v>1</v>
      </c>
      <c r="L536" s="4"/>
    </row>
    <row r="537" spans="1:12" hidden="1">
      <c r="A537" s="4"/>
      <c r="B537" s="4" t="s">
        <v>1411</v>
      </c>
      <c r="C537" s="10" t="s">
        <v>629</v>
      </c>
      <c r="D537" s="10" t="s">
        <v>1409</v>
      </c>
      <c r="E537" s="4"/>
      <c r="F537" s="10" t="s">
        <v>1412</v>
      </c>
      <c r="G537" s="10"/>
      <c r="H537" s="10"/>
      <c r="I537" s="20">
        <f t="shared" si="9"/>
        <v>0</v>
      </c>
      <c r="J537" s="10" t="s">
        <v>632</v>
      </c>
      <c r="K537" s="10">
        <v>1</v>
      </c>
      <c r="L537" s="4"/>
    </row>
    <row r="538" spans="1:12" hidden="1">
      <c r="A538" s="4"/>
      <c r="B538" s="4" t="s">
        <v>1413</v>
      </c>
      <c r="C538" s="10" t="s">
        <v>629</v>
      </c>
      <c r="D538" s="10" t="s">
        <v>1409</v>
      </c>
      <c r="E538" s="4"/>
      <c r="F538" s="10" t="s">
        <v>1414</v>
      </c>
      <c r="G538" s="10"/>
      <c r="H538" s="10"/>
      <c r="I538" s="20">
        <f t="shared" si="9"/>
        <v>0</v>
      </c>
      <c r="J538" s="10" t="s">
        <v>632</v>
      </c>
      <c r="K538" s="10">
        <v>1</v>
      </c>
      <c r="L538" s="4"/>
    </row>
    <row r="539" spans="1:12" hidden="1">
      <c r="A539" s="4"/>
      <c r="B539" s="4" t="s">
        <v>1415</v>
      </c>
      <c r="C539" s="10" t="s">
        <v>629</v>
      </c>
      <c r="D539" s="10" t="s">
        <v>1409</v>
      </c>
      <c r="E539" s="4"/>
      <c r="F539" s="10" t="s">
        <v>1416</v>
      </c>
      <c r="G539" s="10"/>
      <c r="H539" s="10"/>
      <c r="I539" s="20">
        <f t="shared" si="9"/>
        <v>0</v>
      </c>
      <c r="J539" s="10" t="s">
        <v>632</v>
      </c>
      <c r="K539" s="10">
        <v>1</v>
      </c>
      <c r="L539" s="4"/>
    </row>
    <row r="540" spans="1:12" hidden="1">
      <c r="A540" s="4"/>
      <c r="B540" s="4" t="s">
        <v>1417</v>
      </c>
      <c r="C540" s="10" t="s">
        <v>629</v>
      </c>
      <c r="D540" s="10" t="s">
        <v>1409</v>
      </c>
      <c r="E540" s="4"/>
      <c r="F540" s="10" t="s">
        <v>1418</v>
      </c>
      <c r="G540" s="10"/>
      <c r="H540" s="10"/>
      <c r="I540" s="20">
        <f t="shared" si="9"/>
        <v>0</v>
      </c>
      <c r="J540" s="10" t="s">
        <v>632</v>
      </c>
      <c r="K540" s="10">
        <v>1</v>
      </c>
      <c r="L540" s="4"/>
    </row>
    <row r="541" spans="1:12" hidden="1">
      <c r="A541" s="4"/>
      <c r="B541" s="4" t="s">
        <v>1419</v>
      </c>
      <c r="C541" s="10" t="s">
        <v>629</v>
      </c>
      <c r="D541" s="10" t="s">
        <v>1409</v>
      </c>
      <c r="E541" s="4"/>
      <c r="F541" s="10" t="s">
        <v>1420</v>
      </c>
      <c r="G541" s="10"/>
      <c r="H541" s="10"/>
      <c r="I541" s="20">
        <f t="shared" si="9"/>
        <v>0</v>
      </c>
      <c r="J541" s="10" t="s">
        <v>632</v>
      </c>
      <c r="K541" s="10">
        <v>1</v>
      </c>
      <c r="L541" s="4"/>
    </row>
    <row r="542" spans="1:12" hidden="1">
      <c r="A542" s="4"/>
      <c r="B542" s="4" t="s">
        <v>1421</v>
      </c>
      <c r="C542" s="10" t="s">
        <v>629</v>
      </c>
      <c r="D542" s="10" t="s">
        <v>1422</v>
      </c>
      <c r="E542" s="4"/>
      <c r="F542" s="10" t="s">
        <v>1423</v>
      </c>
      <c r="G542" s="10"/>
      <c r="H542" s="10"/>
      <c r="I542" s="20">
        <f t="shared" si="9"/>
        <v>0</v>
      </c>
      <c r="J542" s="10" t="s">
        <v>632</v>
      </c>
      <c r="K542" s="10">
        <v>1</v>
      </c>
      <c r="L542" s="4"/>
    </row>
    <row r="543" spans="1:12" hidden="1">
      <c r="A543" s="4"/>
      <c r="B543" s="4" t="s">
        <v>1424</v>
      </c>
      <c r="C543" s="10" t="s">
        <v>629</v>
      </c>
      <c r="D543" s="10" t="s">
        <v>1422</v>
      </c>
      <c r="E543" s="4"/>
      <c r="F543" s="10" t="s">
        <v>1425</v>
      </c>
      <c r="G543" s="10"/>
      <c r="H543" s="10"/>
      <c r="I543" s="20">
        <f t="shared" si="9"/>
        <v>0</v>
      </c>
      <c r="J543" s="10" t="s">
        <v>632</v>
      </c>
      <c r="K543" s="10">
        <v>1</v>
      </c>
      <c r="L543" s="4"/>
    </row>
    <row r="544" spans="1:12" hidden="1">
      <c r="A544" s="4"/>
      <c r="B544" s="34" t="s">
        <v>583</v>
      </c>
      <c r="C544" s="10" t="s">
        <v>629</v>
      </c>
      <c r="D544" s="10" t="s">
        <v>1426</v>
      </c>
      <c r="E544" s="4"/>
      <c r="F544" s="10" t="s">
        <v>1427</v>
      </c>
      <c r="G544" s="10"/>
      <c r="H544" s="10"/>
      <c r="I544" s="20">
        <f t="shared" si="9"/>
        <v>0</v>
      </c>
      <c r="J544" s="35" t="s">
        <v>632</v>
      </c>
      <c r="K544" s="10">
        <v>1</v>
      </c>
      <c r="L544" s="4"/>
    </row>
    <row r="545" spans="1:12" hidden="1">
      <c r="A545" s="4"/>
      <c r="B545" s="34" t="s">
        <v>583</v>
      </c>
      <c r="C545" s="10" t="s">
        <v>220</v>
      </c>
      <c r="D545" s="10" t="s">
        <v>227</v>
      </c>
      <c r="E545" s="4">
        <v>10038472</v>
      </c>
      <c r="F545" s="10" t="s">
        <v>1428</v>
      </c>
      <c r="G545" s="10"/>
      <c r="H545" s="10"/>
      <c r="I545" s="20">
        <f t="shared" si="9"/>
        <v>0</v>
      </c>
      <c r="J545" s="10" t="s">
        <v>632</v>
      </c>
      <c r="K545" s="10">
        <v>1</v>
      </c>
      <c r="L545" s="4"/>
    </row>
    <row r="546" spans="1:12" hidden="1">
      <c r="A546" s="4"/>
      <c r="B546" s="4" t="s">
        <v>1429</v>
      </c>
      <c r="C546" s="10" t="s">
        <v>629</v>
      </c>
      <c r="D546" s="10" t="s">
        <v>630</v>
      </c>
      <c r="E546" s="4"/>
      <c r="F546" s="10" t="s">
        <v>1430</v>
      </c>
      <c r="G546" s="10"/>
      <c r="H546" s="10"/>
      <c r="I546" s="20">
        <f t="shared" si="9"/>
        <v>0</v>
      </c>
      <c r="J546" s="10" t="s">
        <v>632</v>
      </c>
      <c r="K546" s="10">
        <v>1</v>
      </c>
      <c r="L546" s="4"/>
    </row>
    <row r="547" spans="1:12" hidden="1">
      <c r="A547" s="4"/>
      <c r="B547" s="4" t="s">
        <v>1429</v>
      </c>
      <c r="C547" s="10" t="s">
        <v>629</v>
      </c>
      <c r="D547" s="10" t="s">
        <v>630</v>
      </c>
      <c r="E547" s="4"/>
      <c r="F547" s="10" t="s">
        <v>1431</v>
      </c>
      <c r="G547" s="10"/>
      <c r="H547" s="10"/>
      <c r="I547" s="20">
        <f t="shared" si="9"/>
        <v>0</v>
      </c>
      <c r="J547" s="10" t="s">
        <v>632</v>
      </c>
      <c r="K547" s="10">
        <v>1</v>
      </c>
      <c r="L547" s="4"/>
    </row>
    <row r="548" spans="1:12" hidden="1">
      <c r="A548" s="4"/>
      <c r="B548" s="4" t="s">
        <v>1432</v>
      </c>
      <c r="C548" s="10" t="s">
        <v>629</v>
      </c>
      <c r="D548" s="10" t="s">
        <v>630</v>
      </c>
      <c r="E548" s="4"/>
      <c r="F548" s="10" t="s">
        <v>1433</v>
      </c>
      <c r="G548" s="10"/>
      <c r="H548" s="10"/>
      <c r="I548" s="20">
        <f t="shared" si="9"/>
        <v>0</v>
      </c>
      <c r="J548" s="10" t="s">
        <v>632</v>
      </c>
      <c r="K548" s="10">
        <v>1</v>
      </c>
      <c r="L548" s="4"/>
    </row>
    <row r="549" spans="1:12" hidden="1">
      <c r="A549" s="4"/>
      <c r="B549" s="4" t="s">
        <v>1432</v>
      </c>
      <c r="C549" s="10" t="s">
        <v>629</v>
      </c>
      <c r="D549" s="10" t="s">
        <v>630</v>
      </c>
      <c r="E549" s="4"/>
      <c r="F549" s="10" t="s">
        <v>1434</v>
      </c>
      <c r="G549" s="10"/>
      <c r="H549" s="10"/>
      <c r="I549" s="20">
        <f t="shared" si="9"/>
        <v>0</v>
      </c>
      <c r="J549" s="10" t="s">
        <v>632</v>
      </c>
      <c r="K549" s="10">
        <v>1</v>
      </c>
      <c r="L549" s="4"/>
    </row>
    <row r="550" spans="1:12" hidden="1">
      <c r="A550" s="4"/>
      <c r="B550" s="4" t="s">
        <v>1435</v>
      </c>
      <c r="C550" s="10" t="s">
        <v>629</v>
      </c>
      <c r="D550" s="10" t="s">
        <v>630</v>
      </c>
      <c r="E550" s="4"/>
      <c r="F550" s="10" t="s">
        <v>1436</v>
      </c>
      <c r="G550" s="10"/>
      <c r="H550" s="10"/>
      <c r="I550" s="20">
        <f t="shared" si="9"/>
        <v>0</v>
      </c>
      <c r="J550" s="10" t="s">
        <v>632</v>
      </c>
      <c r="K550" s="10">
        <v>1</v>
      </c>
      <c r="L550" s="4"/>
    </row>
    <row r="551" spans="1:12" hidden="1">
      <c r="A551" s="4"/>
      <c r="B551" s="34" t="s">
        <v>1437</v>
      </c>
      <c r="C551" s="10" t="s">
        <v>629</v>
      </c>
      <c r="D551" s="10" t="s">
        <v>1354</v>
      </c>
      <c r="E551" s="4"/>
      <c r="F551" s="10" t="s">
        <v>1438</v>
      </c>
      <c r="G551" s="10"/>
      <c r="H551" s="10"/>
      <c r="I551" s="20">
        <f t="shared" si="9"/>
        <v>0</v>
      </c>
      <c r="J551" s="10" t="s">
        <v>632</v>
      </c>
      <c r="K551" s="10">
        <v>1</v>
      </c>
      <c r="L551" s="4"/>
    </row>
    <row r="552" spans="1:12" hidden="1">
      <c r="A552" s="4"/>
      <c r="B552" s="34" t="s">
        <v>1437</v>
      </c>
      <c r="C552" s="10" t="s">
        <v>629</v>
      </c>
      <c r="D552" s="10" t="s">
        <v>1354</v>
      </c>
      <c r="E552" s="4"/>
      <c r="F552" s="10" t="s">
        <v>1439</v>
      </c>
      <c r="G552" s="10"/>
      <c r="H552" s="10"/>
      <c r="I552" s="20">
        <f t="shared" si="9"/>
        <v>0</v>
      </c>
      <c r="J552" s="10" t="s">
        <v>632</v>
      </c>
      <c r="K552" s="10">
        <v>1</v>
      </c>
      <c r="L552" s="4"/>
    </row>
    <row r="553" spans="1:12" hidden="1">
      <c r="A553" s="4"/>
      <c r="B553" s="34" t="s">
        <v>1437</v>
      </c>
      <c r="C553" s="10" t="s">
        <v>629</v>
      </c>
      <c r="D553" s="10" t="s">
        <v>1354</v>
      </c>
      <c r="E553" s="4"/>
      <c r="F553" s="10" t="s">
        <v>1440</v>
      </c>
      <c r="G553" s="10"/>
      <c r="H553" s="10"/>
      <c r="I553" s="20">
        <f t="shared" si="9"/>
        <v>0</v>
      </c>
      <c r="J553" s="10" t="s">
        <v>632</v>
      </c>
      <c r="K553" s="10">
        <v>1</v>
      </c>
      <c r="L553" s="4"/>
    </row>
    <row r="554" spans="1:12" hidden="1">
      <c r="A554" s="4"/>
      <c r="B554" s="4" t="s">
        <v>583</v>
      </c>
      <c r="C554" s="10" t="s">
        <v>68</v>
      </c>
      <c r="D554" s="10" t="s">
        <v>1441</v>
      </c>
      <c r="E554" s="4"/>
      <c r="F554" s="10" t="s">
        <v>1442</v>
      </c>
      <c r="G554" s="19"/>
      <c r="H554" s="19"/>
      <c r="I554" s="20">
        <f t="shared" si="9"/>
        <v>0</v>
      </c>
      <c r="J554" s="10" t="s">
        <v>1443</v>
      </c>
      <c r="K554" s="10">
        <v>1</v>
      </c>
      <c r="L554" s="5"/>
    </row>
    <row r="555" spans="1:12" hidden="1">
      <c r="A555" s="4"/>
      <c r="B555" s="4" t="s">
        <v>1444</v>
      </c>
      <c r="C555" s="10" t="s">
        <v>629</v>
      </c>
      <c r="D555" s="10" t="s">
        <v>1445</v>
      </c>
      <c r="E555" s="4"/>
      <c r="F555" s="10" t="s">
        <v>1446</v>
      </c>
      <c r="G555" s="10"/>
      <c r="H555" s="10"/>
      <c r="I555" s="20">
        <f t="shared" si="9"/>
        <v>0</v>
      </c>
      <c r="J555" s="10" t="s">
        <v>1447</v>
      </c>
      <c r="K555" s="10">
        <v>1</v>
      </c>
      <c r="L555" s="4"/>
    </row>
    <row r="556" spans="1:12" hidden="1">
      <c r="A556" s="4"/>
      <c r="B556" s="4" t="s">
        <v>1448</v>
      </c>
      <c r="C556" s="10" t="s">
        <v>629</v>
      </c>
      <c r="D556" s="10" t="s">
        <v>1445</v>
      </c>
      <c r="E556" s="4"/>
      <c r="F556" s="10" t="s">
        <v>1449</v>
      </c>
      <c r="G556" s="10"/>
      <c r="H556" s="10"/>
      <c r="I556" s="20">
        <f t="shared" si="9"/>
        <v>0</v>
      </c>
      <c r="J556" s="10" t="s">
        <v>1447</v>
      </c>
      <c r="K556" s="10">
        <v>1</v>
      </c>
      <c r="L556" s="4"/>
    </row>
    <row r="557" spans="1:12" hidden="1">
      <c r="A557" s="4"/>
      <c r="B557" s="4" t="s">
        <v>1450</v>
      </c>
      <c r="C557" s="10" t="s">
        <v>629</v>
      </c>
      <c r="D557" s="10" t="s">
        <v>1451</v>
      </c>
      <c r="E557" s="4"/>
      <c r="F557" s="10" t="s">
        <v>1452</v>
      </c>
      <c r="G557" s="10"/>
      <c r="H557" s="10"/>
      <c r="I557" s="20">
        <f t="shared" si="9"/>
        <v>0</v>
      </c>
      <c r="J557" s="10" t="s">
        <v>1447</v>
      </c>
      <c r="K557" s="10">
        <v>1</v>
      </c>
      <c r="L557" s="4"/>
    </row>
    <row r="558" spans="1:12" hidden="1">
      <c r="A558" s="4"/>
      <c r="B558" s="4" t="s">
        <v>1453</v>
      </c>
      <c r="C558" s="10" t="s">
        <v>629</v>
      </c>
      <c r="D558" s="10" t="s">
        <v>1451</v>
      </c>
      <c r="E558" s="4"/>
      <c r="F558" s="10" t="s">
        <v>1454</v>
      </c>
      <c r="G558" s="10"/>
      <c r="H558" s="10"/>
      <c r="I558" s="20">
        <f t="shared" si="9"/>
        <v>0</v>
      </c>
      <c r="J558" s="10" t="s">
        <v>1447</v>
      </c>
      <c r="K558" s="10">
        <v>1</v>
      </c>
      <c r="L558" s="4"/>
    </row>
    <row r="559" spans="1:12" hidden="1">
      <c r="A559" s="4"/>
      <c r="B559" s="34" t="s">
        <v>583</v>
      </c>
      <c r="C559" s="10" t="s">
        <v>629</v>
      </c>
      <c r="D559" s="10" t="s">
        <v>1445</v>
      </c>
      <c r="E559" s="4"/>
      <c r="F559" s="10" t="s">
        <v>1455</v>
      </c>
      <c r="G559" s="10"/>
      <c r="H559" s="10"/>
      <c r="I559" s="20">
        <f t="shared" si="9"/>
        <v>0</v>
      </c>
      <c r="J559" s="10" t="s">
        <v>1447</v>
      </c>
      <c r="K559" s="10">
        <v>1</v>
      </c>
      <c r="L559" s="4"/>
    </row>
    <row r="560" spans="1:12" hidden="1">
      <c r="A560" s="4"/>
      <c r="B560" s="34" t="s">
        <v>583</v>
      </c>
      <c r="C560" s="10" t="s">
        <v>629</v>
      </c>
      <c r="D560" s="10" t="s">
        <v>1445</v>
      </c>
      <c r="E560" s="4"/>
      <c r="F560" s="10" t="s">
        <v>1456</v>
      </c>
      <c r="G560" s="10"/>
      <c r="H560" s="10"/>
      <c r="I560" s="20">
        <f t="shared" si="9"/>
        <v>0</v>
      </c>
      <c r="J560" s="10" t="s">
        <v>1447</v>
      </c>
      <c r="K560" s="10">
        <v>1</v>
      </c>
      <c r="L560" s="4"/>
    </row>
    <row r="561" spans="1:12" hidden="1">
      <c r="A561" s="4"/>
      <c r="B561" s="34" t="s">
        <v>583</v>
      </c>
      <c r="C561" s="10" t="s">
        <v>629</v>
      </c>
      <c r="D561" s="10" t="s">
        <v>1445</v>
      </c>
      <c r="E561" s="4"/>
      <c r="F561" s="10" t="s">
        <v>1457</v>
      </c>
      <c r="G561" s="10"/>
      <c r="H561" s="10"/>
      <c r="I561" s="20">
        <f t="shared" si="9"/>
        <v>0</v>
      </c>
      <c r="J561" s="10" t="s">
        <v>1447</v>
      </c>
      <c r="K561" s="10">
        <v>1</v>
      </c>
      <c r="L561" s="4"/>
    </row>
    <row r="562" spans="1:12" hidden="1">
      <c r="A562" s="4"/>
      <c r="B562" s="34" t="s">
        <v>583</v>
      </c>
      <c r="C562" s="10" t="s">
        <v>629</v>
      </c>
      <c r="D562" s="10" t="s">
        <v>1445</v>
      </c>
      <c r="E562" s="4"/>
      <c r="F562" s="10" t="s">
        <v>1458</v>
      </c>
      <c r="G562" s="10"/>
      <c r="H562" s="10"/>
      <c r="I562" s="20">
        <f t="shared" si="9"/>
        <v>0</v>
      </c>
      <c r="J562" s="10" t="s">
        <v>1447</v>
      </c>
      <c r="K562" s="10">
        <v>1</v>
      </c>
      <c r="L562" s="4"/>
    </row>
    <row r="563" spans="1:12" hidden="1">
      <c r="A563" s="4"/>
      <c r="B563" s="34" t="s">
        <v>583</v>
      </c>
      <c r="C563" s="10" t="s">
        <v>629</v>
      </c>
      <c r="D563" s="10" t="s">
        <v>1445</v>
      </c>
      <c r="E563" s="4"/>
      <c r="F563" s="10" t="s">
        <v>1459</v>
      </c>
      <c r="G563" s="10"/>
      <c r="H563" s="10"/>
      <c r="I563" s="20">
        <f t="shared" si="9"/>
        <v>0</v>
      </c>
      <c r="J563" s="10" t="s">
        <v>1447</v>
      </c>
      <c r="K563" s="10">
        <v>1</v>
      </c>
      <c r="L563" s="4"/>
    </row>
    <row r="564" spans="1:12" hidden="1">
      <c r="A564" s="4"/>
      <c r="B564" s="34" t="s">
        <v>583</v>
      </c>
      <c r="C564" s="10" t="s">
        <v>629</v>
      </c>
      <c r="D564" s="10" t="s">
        <v>1445</v>
      </c>
      <c r="E564" s="4"/>
      <c r="F564" s="10" t="s">
        <v>1460</v>
      </c>
      <c r="G564" s="10"/>
      <c r="H564" s="10"/>
      <c r="I564" s="20">
        <f t="shared" si="9"/>
        <v>0</v>
      </c>
      <c r="J564" s="10" t="s">
        <v>1447</v>
      </c>
      <c r="K564" s="10">
        <v>1</v>
      </c>
      <c r="L564" s="4"/>
    </row>
    <row r="565" spans="1:12" hidden="1">
      <c r="A565" s="4"/>
      <c r="B565" s="34" t="s">
        <v>583</v>
      </c>
      <c r="C565" s="10" t="s">
        <v>629</v>
      </c>
      <c r="D565" s="10" t="s">
        <v>1445</v>
      </c>
      <c r="E565" s="4"/>
      <c r="F565" s="10" t="s">
        <v>1461</v>
      </c>
      <c r="G565" s="10"/>
      <c r="H565" s="10"/>
      <c r="I565" s="20">
        <f t="shared" si="9"/>
        <v>0</v>
      </c>
      <c r="J565" s="10" t="s">
        <v>1447</v>
      </c>
      <c r="K565" s="10">
        <v>1</v>
      </c>
      <c r="L565" s="4"/>
    </row>
    <row r="566" spans="1:12" hidden="1">
      <c r="A566" s="4"/>
      <c r="B566" s="34" t="s">
        <v>583</v>
      </c>
      <c r="C566" s="10" t="s">
        <v>629</v>
      </c>
      <c r="D566" s="10" t="s">
        <v>1462</v>
      </c>
      <c r="E566" s="4"/>
      <c r="F566" s="10" t="s">
        <v>1463</v>
      </c>
      <c r="G566" s="10"/>
      <c r="H566" s="10"/>
      <c r="I566" s="20">
        <f t="shared" si="9"/>
        <v>0</v>
      </c>
      <c r="J566" s="10" t="s">
        <v>1447</v>
      </c>
      <c r="K566" s="10">
        <v>1</v>
      </c>
      <c r="L566" s="4"/>
    </row>
    <row r="567" spans="1:12" hidden="1">
      <c r="A567" s="4"/>
      <c r="B567" s="34" t="s">
        <v>583</v>
      </c>
      <c r="C567" s="10" t="s">
        <v>629</v>
      </c>
      <c r="D567" s="10" t="s">
        <v>1462</v>
      </c>
      <c r="E567" s="4"/>
      <c r="F567" s="10" t="s">
        <v>1464</v>
      </c>
      <c r="G567" s="10"/>
      <c r="H567" s="10"/>
      <c r="I567" s="20">
        <f t="shared" si="9"/>
        <v>0</v>
      </c>
      <c r="J567" s="10" t="s">
        <v>1447</v>
      </c>
      <c r="K567" s="10">
        <v>1</v>
      </c>
      <c r="L567" s="4"/>
    </row>
    <row r="568" spans="1:12" hidden="1">
      <c r="A568" s="4"/>
      <c r="B568" s="34" t="s">
        <v>583</v>
      </c>
      <c r="C568" s="10" t="s">
        <v>629</v>
      </c>
      <c r="D568" s="10" t="s">
        <v>1462</v>
      </c>
      <c r="E568" s="4"/>
      <c r="F568" s="10" t="s">
        <v>1465</v>
      </c>
      <c r="G568" s="10"/>
      <c r="H568" s="10"/>
      <c r="I568" s="20">
        <f t="shared" si="9"/>
        <v>0</v>
      </c>
      <c r="J568" s="10" t="s">
        <v>1447</v>
      </c>
      <c r="K568" s="10">
        <v>1</v>
      </c>
      <c r="L568" s="4"/>
    </row>
    <row r="569" spans="1:12" hidden="1">
      <c r="A569" s="4"/>
      <c r="B569" s="34" t="s">
        <v>583</v>
      </c>
      <c r="C569" s="10" t="s">
        <v>629</v>
      </c>
      <c r="D569" s="10" t="s">
        <v>1466</v>
      </c>
      <c r="E569" s="4"/>
      <c r="F569" s="10" t="s">
        <v>1467</v>
      </c>
      <c r="G569" s="10"/>
      <c r="H569" s="10"/>
      <c r="I569" s="20">
        <f t="shared" si="9"/>
        <v>0</v>
      </c>
      <c r="J569" s="10" t="s">
        <v>1447</v>
      </c>
      <c r="K569" s="10">
        <v>1</v>
      </c>
      <c r="L569" s="4"/>
    </row>
    <row r="570" spans="1:12" hidden="1">
      <c r="A570" s="4"/>
      <c r="B570" s="34" t="s">
        <v>583</v>
      </c>
      <c r="C570" s="10" t="s">
        <v>629</v>
      </c>
      <c r="D570" s="10" t="s">
        <v>1466</v>
      </c>
      <c r="E570" s="4"/>
      <c r="F570" s="10" t="s">
        <v>1468</v>
      </c>
      <c r="G570" s="10"/>
      <c r="H570" s="10"/>
      <c r="I570" s="20">
        <f t="shared" si="9"/>
        <v>0</v>
      </c>
      <c r="J570" s="10" t="s">
        <v>1447</v>
      </c>
      <c r="K570" s="10">
        <v>1</v>
      </c>
      <c r="L570" s="4"/>
    </row>
    <row r="571" spans="1:12" hidden="1">
      <c r="A571" s="4"/>
      <c r="B571" s="34" t="s">
        <v>583</v>
      </c>
      <c r="C571" s="10" t="s">
        <v>629</v>
      </c>
      <c r="D571" s="10" t="s">
        <v>1466</v>
      </c>
      <c r="E571" s="4"/>
      <c r="F571" s="10" t="s">
        <v>1469</v>
      </c>
      <c r="G571" s="10"/>
      <c r="H571" s="10"/>
      <c r="I571" s="20">
        <f t="shared" si="9"/>
        <v>0</v>
      </c>
      <c r="J571" s="10" t="s">
        <v>1447</v>
      </c>
      <c r="K571" s="10">
        <v>1</v>
      </c>
      <c r="L571" s="4"/>
    </row>
    <row r="572" spans="1:12" hidden="1">
      <c r="A572" s="4"/>
      <c r="B572" s="34" t="s">
        <v>583</v>
      </c>
      <c r="C572" s="10" t="s">
        <v>629</v>
      </c>
      <c r="D572" s="10" t="s">
        <v>1466</v>
      </c>
      <c r="E572" s="4"/>
      <c r="F572" s="10" t="s">
        <v>1470</v>
      </c>
      <c r="G572" s="10"/>
      <c r="H572" s="10"/>
      <c r="I572" s="20">
        <f t="shared" si="9"/>
        <v>0</v>
      </c>
      <c r="J572" s="10" t="s">
        <v>1447</v>
      </c>
      <c r="K572" s="10">
        <v>1</v>
      </c>
      <c r="L572" s="4"/>
    </row>
    <row r="573" spans="1:12" hidden="1">
      <c r="A573" s="4"/>
      <c r="B573" s="34" t="s">
        <v>583</v>
      </c>
      <c r="C573" s="10" t="s">
        <v>629</v>
      </c>
      <c r="D573" s="10" t="s">
        <v>1466</v>
      </c>
      <c r="E573" s="4"/>
      <c r="F573" s="10" t="s">
        <v>1471</v>
      </c>
      <c r="G573" s="10"/>
      <c r="H573" s="10"/>
      <c r="I573" s="20">
        <f t="shared" si="9"/>
        <v>0</v>
      </c>
      <c r="J573" s="10" t="s">
        <v>1447</v>
      </c>
      <c r="K573" s="10">
        <v>1</v>
      </c>
      <c r="L573" s="4"/>
    </row>
    <row r="574" spans="1:12" hidden="1">
      <c r="A574" s="4"/>
      <c r="B574" s="34" t="s">
        <v>583</v>
      </c>
      <c r="C574" s="10" t="s">
        <v>629</v>
      </c>
      <c r="D574" s="10" t="s">
        <v>1466</v>
      </c>
      <c r="E574" s="4"/>
      <c r="F574" s="10" t="s">
        <v>1472</v>
      </c>
      <c r="G574" s="10"/>
      <c r="H574" s="10"/>
      <c r="I574" s="20">
        <f t="shared" si="9"/>
        <v>0</v>
      </c>
      <c r="J574" s="10" t="s">
        <v>1447</v>
      </c>
      <c r="K574" s="10">
        <v>1</v>
      </c>
      <c r="L574" s="4"/>
    </row>
    <row r="575" spans="1:12" hidden="1">
      <c r="A575" s="4"/>
      <c r="B575" s="34" t="s">
        <v>583</v>
      </c>
      <c r="C575" s="10" t="s">
        <v>629</v>
      </c>
      <c r="D575" s="10" t="s">
        <v>1466</v>
      </c>
      <c r="E575" s="4"/>
      <c r="F575" s="10" t="s">
        <v>1473</v>
      </c>
      <c r="G575" s="10"/>
      <c r="H575" s="10"/>
      <c r="I575" s="20">
        <f t="shared" si="9"/>
        <v>0</v>
      </c>
      <c r="J575" s="10" t="s">
        <v>1447</v>
      </c>
      <c r="K575" s="10">
        <v>1</v>
      </c>
      <c r="L575" s="4"/>
    </row>
    <row r="576" spans="1:12" hidden="1">
      <c r="A576" s="4"/>
      <c r="B576" s="34" t="s">
        <v>583</v>
      </c>
      <c r="C576" s="10" t="s">
        <v>629</v>
      </c>
      <c r="D576" s="10" t="s">
        <v>1466</v>
      </c>
      <c r="E576" s="4"/>
      <c r="F576" s="10" t="s">
        <v>1474</v>
      </c>
      <c r="G576" s="10"/>
      <c r="H576" s="10"/>
      <c r="I576" s="20">
        <f t="shared" si="9"/>
        <v>0</v>
      </c>
      <c r="J576" s="10" t="s">
        <v>1447</v>
      </c>
      <c r="K576" s="10">
        <v>1</v>
      </c>
      <c r="L576" s="4"/>
    </row>
    <row r="577" spans="1:12" hidden="1">
      <c r="A577" s="4"/>
      <c r="B577" s="34" t="s">
        <v>583</v>
      </c>
      <c r="C577" s="10" t="s">
        <v>629</v>
      </c>
      <c r="D577" s="10" t="s">
        <v>1466</v>
      </c>
      <c r="E577" s="4"/>
      <c r="F577" s="10" t="s">
        <v>1475</v>
      </c>
      <c r="G577" s="10"/>
      <c r="H577" s="10"/>
      <c r="I577" s="20">
        <f t="shared" si="9"/>
        <v>0</v>
      </c>
      <c r="J577" s="10" t="s">
        <v>1447</v>
      </c>
      <c r="K577" s="10">
        <v>1</v>
      </c>
      <c r="L577" s="4"/>
    </row>
    <row r="578" spans="1:12" hidden="1">
      <c r="A578" s="4"/>
      <c r="B578" s="34" t="s">
        <v>583</v>
      </c>
      <c r="C578" s="10" t="s">
        <v>629</v>
      </c>
      <c r="D578" s="10" t="s">
        <v>1466</v>
      </c>
      <c r="E578" s="4"/>
      <c r="F578" s="10" t="s">
        <v>1476</v>
      </c>
      <c r="G578" s="10"/>
      <c r="H578" s="10"/>
      <c r="I578" s="20">
        <f t="shared" si="9"/>
        <v>0</v>
      </c>
      <c r="J578" s="10" t="s">
        <v>1447</v>
      </c>
      <c r="K578" s="10">
        <v>1</v>
      </c>
      <c r="L578" s="4"/>
    </row>
    <row r="579" spans="1:12" hidden="1">
      <c r="A579" s="4"/>
      <c r="B579" s="34" t="s">
        <v>583</v>
      </c>
      <c r="C579" s="10" t="s">
        <v>629</v>
      </c>
      <c r="D579" s="10" t="s">
        <v>1466</v>
      </c>
      <c r="E579" s="4"/>
      <c r="F579" s="10" t="s">
        <v>1477</v>
      </c>
      <c r="G579" s="10"/>
      <c r="H579" s="10"/>
      <c r="I579" s="20">
        <f t="shared" si="9"/>
        <v>0</v>
      </c>
      <c r="J579" s="10" t="s">
        <v>1447</v>
      </c>
      <c r="K579" s="10">
        <v>1</v>
      </c>
      <c r="L579" s="4"/>
    </row>
    <row r="580" spans="1:12" hidden="1">
      <c r="A580" s="4"/>
      <c r="B580" s="34" t="s">
        <v>583</v>
      </c>
      <c r="C580" s="10" t="s">
        <v>629</v>
      </c>
      <c r="D580" s="10" t="s">
        <v>1466</v>
      </c>
      <c r="E580" s="4"/>
      <c r="F580" s="10" t="s">
        <v>1478</v>
      </c>
      <c r="G580" s="10"/>
      <c r="H580" s="10"/>
      <c r="I580" s="20">
        <f t="shared" si="9"/>
        <v>0</v>
      </c>
      <c r="J580" s="10" t="s">
        <v>1447</v>
      </c>
      <c r="K580" s="10">
        <v>1</v>
      </c>
      <c r="L580" s="4"/>
    </row>
    <row r="581" spans="1:12" hidden="1">
      <c r="A581" s="4"/>
      <c r="B581" s="34" t="s">
        <v>583</v>
      </c>
      <c r="C581" s="10" t="s">
        <v>629</v>
      </c>
      <c r="D581" s="10" t="s">
        <v>1466</v>
      </c>
      <c r="E581" s="4"/>
      <c r="F581" s="10" t="s">
        <v>1479</v>
      </c>
      <c r="G581" s="10"/>
      <c r="H581" s="10"/>
      <c r="I581" s="20">
        <f t="shared" si="9"/>
        <v>0</v>
      </c>
      <c r="J581" s="10" t="s">
        <v>1447</v>
      </c>
      <c r="K581" s="10">
        <v>1</v>
      </c>
      <c r="L581" s="4"/>
    </row>
    <row r="582" spans="1:12" hidden="1">
      <c r="A582" s="4"/>
      <c r="B582" s="34" t="s">
        <v>583</v>
      </c>
      <c r="C582" s="10" t="s">
        <v>629</v>
      </c>
      <c r="D582" s="10" t="s">
        <v>1466</v>
      </c>
      <c r="E582" s="4"/>
      <c r="F582" s="10" t="s">
        <v>1480</v>
      </c>
      <c r="G582" s="10"/>
      <c r="H582" s="10"/>
      <c r="I582" s="20">
        <f t="shared" si="9"/>
        <v>0</v>
      </c>
      <c r="J582" s="10" t="s">
        <v>1447</v>
      </c>
      <c r="K582" s="10">
        <v>1</v>
      </c>
      <c r="L582" s="4"/>
    </row>
    <row r="583" spans="1:12" hidden="1">
      <c r="A583" s="4"/>
      <c r="B583" s="34" t="s">
        <v>583</v>
      </c>
      <c r="C583" s="10" t="s">
        <v>629</v>
      </c>
      <c r="D583" s="10" t="s">
        <v>1481</v>
      </c>
      <c r="E583" s="4"/>
      <c r="F583" s="10" t="s">
        <v>1482</v>
      </c>
      <c r="G583" s="10"/>
      <c r="H583" s="10"/>
      <c r="I583" s="20">
        <f t="shared" si="9"/>
        <v>0</v>
      </c>
      <c r="J583" s="10" t="s">
        <v>1447</v>
      </c>
      <c r="K583" s="10">
        <v>1</v>
      </c>
      <c r="L583" s="4"/>
    </row>
    <row r="584" spans="1:12" hidden="1">
      <c r="A584" s="4"/>
      <c r="B584" s="34" t="s">
        <v>583</v>
      </c>
      <c r="C584" s="10" t="s">
        <v>629</v>
      </c>
      <c r="D584" s="10" t="s">
        <v>1481</v>
      </c>
      <c r="E584" s="4"/>
      <c r="F584" s="10" t="s">
        <v>1483</v>
      </c>
      <c r="G584" s="10"/>
      <c r="H584" s="10"/>
      <c r="I584" s="20">
        <f t="shared" si="9"/>
        <v>0</v>
      </c>
      <c r="J584" s="10" t="s">
        <v>1447</v>
      </c>
      <c r="K584" s="10">
        <v>1</v>
      </c>
      <c r="L584" s="4"/>
    </row>
    <row r="585" spans="1:12" hidden="1">
      <c r="A585" s="4"/>
      <c r="B585" s="34" t="s">
        <v>583</v>
      </c>
      <c r="C585" s="10" t="s">
        <v>220</v>
      </c>
      <c r="D585" s="10" t="s">
        <v>1484</v>
      </c>
      <c r="E585" s="4">
        <v>10035363</v>
      </c>
      <c r="F585" s="10" t="s">
        <v>548</v>
      </c>
      <c r="G585" s="10"/>
      <c r="H585" s="10"/>
      <c r="I585" s="20">
        <f t="shared" si="9"/>
        <v>0</v>
      </c>
      <c r="J585" s="10" t="s">
        <v>1447</v>
      </c>
      <c r="K585" s="10">
        <v>1</v>
      </c>
      <c r="L585" s="4"/>
    </row>
    <row r="586" spans="1:12" hidden="1">
      <c r="A586" s="4"/>
      <c r="B586" s="34" t="s">
        <v>583</v>
      </c>
      <c r="C586" s="10" t="s">
        <v>220</v>
      </c>
      <c r="D586" s="10" t="s">
        <v>1484</v>
      </c>
      <c r="E586" s="4">
        <v>10035543</v>
      </c>
      <c r="F586" s="10" t="s">
        <v>560</v>
      </c>
      <c r="G586" s="10"/>
      <c r="H586" s="10"/>
      <c r="I586" s="20">
        <f t="shared" si="9"/>
        <v>0</v>
      </c>
      <c r="J586" s="10" t="s">
        <v>1447</v>
      </c>
      <c r="K586" s="10">
        <v>1</v>
      </c>
      <c r="L586" s="4"/>
    </row>
    <row r="587" spans="1:12" hidden="1">
      <c r="A587" s="4"/>
      <c r="B587" s="34" t="s">
        <v>583</v>
      </c>
      <c r="C587" s="10" t="s">
        <v>220</v>
      </c>
      <c r="D587" s="10" t="s">
        <v>1484</v>
      </c>
      <c r="E587" s="4">
        <v>10035568</v>
      </c>
      <c r="F587" s="10" t="s">
        <v>1485</v>
      </c>
      <c r="G587" s="10"/>
      <c r="H587" s="10"/>
      <c r="I587" s="20">
        <f t="shared" si="9"/>
        <v>0</v>
      </c>
      <c r="J587" s="10" t="s">
        <v>1447</v>
      </c>
      <c r="K587" s="10">
        <v>1</v>
      </c>
      <c r="L587" s="4"/>
    </row>
    <row r="588" spans="1:12" hidden="1">
      <c r="A588" s="4"/>
      <c r="B588" s="34" t="s">
        <v>583</v>
      </c>
      <c r="C588" s="10" t="s">
        <v>220</v>
      </c>
      <c r="D588" s="10" t="s">
        <v>677</v>
      </c>
      <c r="E588" s="4">
        <v>10035585</v>
      </c>
      <c r="F588" s="10" t="s">
        <v>1486</v>
      </c>
      <c r="G588" s="10"/>
      <c r="H588" s="10"/>
      <c r="I588" s="20">
        <f t="shared" ref="I588:I651" si="10">G588+H588</f>
        <v>0</v>
      </c>
      <c r="J588" s="10" t="s">
        <v>1447</v>
      </c>
      <c r="K588" s="10">
        <v>1</v>
      </c>
      <c r="L588" s="4"/>
    </row>
    <row r="589" spans="1:12" hidden="1">
      <c r="A589" s="4"/>
      <c r="B589" s="34" t="s">
        <v>583</v>
      </c>
      <c r="C589" s="10" t="s">
        <v>629</v>
      </c>
      <c r="D589" s="10" t="s">
        <v>1426</v>
      </c>
      <c r="E589" s="4"/>
      <c r="F589" s="10" t="s">
        <v>1487</v>
      </c>
      <c r="G589" s="10"/>
      <c r="H589" s="10"/>
      <c r="I589" s="20">
        <f t="shared" si="10"/>
        <v>0</v>
      </c>
      <c r="J589" s="35" t="s">
        <v>1488</v>
      </c>
      <c r="K589" s="10">
        <v>1</v>
      </c>
      <c r="L589" s="4"/>
    </row>
    <row r="590" spans="1:12" hidden="1">
      <c r="A590" s="4"/>
      <c r="B590" s="34" t="s">
        <v>583</v>
      </c>
      <c r="C590" s="10" t="s">
        <v>220</v>
      </c>
      <c r="D590" s="10" t="s">
        <v>677</v>
      </c>
      <c r="E590" s="4">
        <v>10035525</v>
      </c>
      <c r="F590" s="10" t="s">
        <v>1489</v>
      </c>
      <c r="G590" s="10"/>
      <c r="H590" s="10"/>
      <c r="I590" s="20">
        <f t="shared" si="10"/>
        <v>0</v>
      </c>
      <c r="J590" s="10" t="s">
        <v>1447</v>
      </c>
      <c r="K590" s="10">
        <v>1</v>
      </c>
      <c r="L590" s="4"/>
    </row>
    <row r="591" spans="1:12" hidden="1">
      <c r="A591" s="4"/>
      <c r="B591" s="34" t="s">
        <v>583</v>
      </c>
      <c r="C591" s="10" t="s">
        <v>220</v>
      </c>
      <c r="D591" s="10" t="s">
        <v>677</v>
      </c>
      <c r="E591" s="4">
        <v>10035530</v>
      </c>
      <c r="F591" s="10" t="s">
        <v>1490</v>
      </c>
      <c r="G591" s="10"/>
      <c r="H591" s="10"/>
      <c r="I591" s="20">
        <f t="shared" si="10"/>
        <v>0</v>
      </c>
      <c r="J591" s="10" t="s">
        <v>1447</v>
      </c>
      <c r="K591" s="10">
        <v>1</v>
      </c>
      <c r="L591" s="4"/>
    </row>
    <row r="592" spans="1:12" hidden="1">
      <c r="A592" s="4"/>
      <c r="B592" s="34" t="s">
        <v>583</v>
      </c>
      <c r="C592" s="10" t="s">
        <v>220</v>
      </c>
      <c r="D592" s="10" t="s">
        <v>668</v>
      </c>
      <c r="E592" s="4">
        <v>10035523</v>
      </c>
      <c r="F592" s="10" t="s">
        <v>554</v>
      </c>
      <c r="G592" s="10"/>
      <c r="H592" s="10"/>
      <c r="I592" s="20">
        <f t="shared" si="10"/>
        <v>0</v>
      </c>
      <c r="J592" s="10" t="s">
        <v>1447</v>
      </c>
      <c r="K592" s="10">
        <v>1</v>
      </c>
      <c r="L592" s="4"/>
    </row>
    <row r="593" spans="1:12" hidden="1">
      <c r="A593" s="4"/>
      <c r="B593" s="34" t="s">
        <v>583</v>
      </c>
      <c r="C593" s="10" t="s">
        <v>629</v>
      </c>
      <c r="D593" s="10" t="s">
        <v>1491</v>
      </c>
      <c r="E593" s="4"/>
      <c r="F593" s="10" t="s">
        <v>1492</v>
      </c>
      <c r="G593" s="10"/>
      <c r="H593" s="10"/>
      <c r="I593" s="20">
        <f t="shared" si="10"/>
        <v>0</v>
      </c>
      <c r="J593" s="35" t="s">
        <v>1488</v>
      </c>
      <c r="K593" s="10">
        <v>1</v>
      </c>
      <c r="L593" s="4"/>
    </row>
    <row r="594" spans="1:12" hidden="1">
      <c r="A594" s="4"/>
      <c r="B594" s="34" t="s">
        <v>583</v>
      </c>
      <c r="C594" s="10" t="s">
        <v>629</v>
      </c>
      <c r="D594" s="10" t="s">
        <v>1491</v>
      </c>
      <c r="E594" s="4"/>
      <c r="F594" s="10" t="s">
        <v>1493</v>
      </c>
      <c r="G594" s="10"/>
      <c r="H594" s="10"/>
      <c r="I594" s="20">
        <f t="shared" si="10"/>
        <v>0</v>
      </c>
      <c r="J594" s="35" t="s">
        <v>1488</v>
      </c>
      <c r="K594" s="10">
        <v>1</v>
      </c>
      <c r="L594" s="4"/>
    </row>
    <row r="595" spans="1:12" hidden="1">
      <c r="A595" s="4"/>
      <c r="B595" s="34" t="s">
        <v>583</v>
      </c>
      <c r="C595" s="10" t="s">
        <v>629</v>
      </c>
      <c r="D595" s="10" t="s">
        <v>1491</v>
      </c>
      <c r="E595" s="4"/>
      <c r="F595" s="10" t="s">
        <v>1494</v>
      </c>
      <c r="G595" s="10"/>
      <c r="H595" s="10"/>
      <c r="I595" s="20">
        <f t="shared" si="10"/>
        <v>0</v>
      </c>
      <c r="J595" s="35" t="s">
        <v>1488</v>
      </c>
      <c r="K595" s="10">
        <v>1</v>
      </c>
      <c r="L595" s="4"/>
    </row>
    <row r="596" spans="1:12" hidden="1">
      <c r="A596" s="4"/>
      <c r="B596" s="34" t="s">
        <v>583</v>
      </c>
      <c r="C596" s="10" t="s">
        <v>629</v>
      </c>
      <c r="D596" s="10" t="s">
        <v>1491</v>
      </c>
      <c r="E596" s="4"/>
      <c r="F596" s="10" t="s">
        <v>1495</v>
      </c>
      <c r="G596" s="10"/>
      <c r="H596" s="10"/>
      <c r="I596" s="20">
        <f t="shared" si="10"/>
        <v>0</v>
      </c>
      <c r="J596" s="35" t="s">
        <v>1488</v>
      </c>
      <c r="K596" s="10">
        <v>1</v>
      </c>
      <c r="L596" s="4"/>
    </row>
    <row r="597" spans="1:12" hidden="1">
      <c r="A597" s="4"/>
      <c r="B597" s="34" t="s">
        <v>583</v>
      </c>
      <c r="C597" s="10" t="s">
        <v>629</v>
      </c>
      <c r="D597" s="10" t="s">
        <v>1496</v>
      </c>
      <c r="E597" s="4"/>
      <c r="F597" s="10" t="s">
        <v>1497</v>
      </c>
      <c r="G597" s="10"/>
      <c r="H597" s="10"/>
      <c r="I597" s="20">
        <f t="shared" si="10"/>
        <v>0</v>
      </c>
      <c r="J597" s="35" t="s">
        <v>1488</v>
      </c>
      <c r="K597" s="10">
        <v>1</v>
      </c>
      <c r="L597" s="4"/>
    </row>
    <row r="598" spans="1:12" hidden="1">
      <c r="A598" s="4"/>
      <c r="B598" s="34" t="s">
        <v>583</v>
      </c>
      <c r="C598" s="10" t="s">
        <v>629</v>
      </c>
      <c r="D598" s="10" t="s">
        <v>1496</v>
      </c>
      <c r="E598" s="4"/>
      <c r="F598" s="10" t="s">
        <v>1498</v>
      </c>
      <c r="G598" s="10"/>
      <c r="H598" s="10"/>
      <c r="I598" s="20">
        <f t="shared" si="10"/>
        <v>0</v>
      </c>
      <c r="J598" s="35" t="s">
        <v>1488</v>
      </c>
      <c r="K598" s="10">
        <v>1</v>
      </c>
      <c r="L598" s="4"/>
    </row>
    <row r="599" spans="1:12" hidden="1">
      <c r="A599" s="4"/>
      <c r="B599" s="34" t="s">
        <v>583</v>
      </c>
      <c r="C599" s="10" t="s">
        <v>629</v>
      </c>
      <c r="D599" s="10" t="s">
        <v>1499</v>
      </c>
      <c r="E599" s="4"/>
      <c r="F599" s="10" t="s">
        <v>1500</v>
      </c>
      <c r="G599" s="10"/>
      <c r="H599" s="10"/>
      <c r="I599" s="20">
        <f t="shared" si="10"/>
        <v>0</v>
      </c>
      <c r="J599" s="35" t="s">
        <v>1488</v>
      </c>
      <c r="K599" s="10">
        <v>1</v>
      </c>
      <c r="L599" s="4"/>
    </row>
    <row r="600" spans="1:12" hidden="1">
      <c r="A600" s="4"/>
      <c r="B600" s="34" t="s">
        <v>583</v>
      </c>
      <c r="C600" s="10" t="s">
        <v>629</v>
      </c>
      <c r="D600" s="10" t="s">
        <v>1499</v>
      </c>
      <c r="E600" s="4"/>
      <c r="F600" s="10" t="s">
        <v>1501</v>
      </c>
      <c r="G600" s="10"/>
      <c r="H600" s="10"/>
      <c r="I600" s="20">
        <f t="shared" si="10"/>
        <v>0</v>
      </c>
      <c r="J600" s="35" t="s">
        <v>1488</v>
      </c>
      <c r="K600" s="10">
        <v>1</v>
      </c>
      <c r="L600" s="4"/>
    </row>
    <row r="601" spans="1:12" hidden="1">
      <c r="A601" s="4"/>
      <c r="B601" s="34" t="s">
        <v>583</v>
      </c>
      <c r="C601" s="10" t="s">
        <v>629</v>
      </c>
      <c r="D601" s="10" t="s">
        <v>1502</v>
      </c>
      <c r="E601" s="4"/>
      <c r="F601" s="10" t="s">
        <v>1503</v>
      </c>
      <c r="G601" s="10"/>
      <c r="H601" s="10"/>
      <c r="I601" s="20">
        <f t="shared" si="10"/>
        <v>0</v>
      </c>
      <c r="J601" s="35" t="s">
        <v>1488</v>
      </c>
      <c r="K601" s="10">
        <v>1</v>
      </c>
      <c r="L601" s="4"/>
    </row>
    <row r="602" spans="1:12" hidden="1">
      <c r="A602" s="4"/>
      <c r="B602" s="34" t="s">
        <v>583</v>
      </c>
      <c r="C602" s="10" t="s">
        <v>220</v>
      </c>
      <c r="D602" s="10" t="s">
        <v>668</v>
      </c>
      <c r="E602" s="4">
        <v>10035491</v>
      </c>
      <c r="F602" s="10" t="s">
        <v>1504</v>
      </c>
      <c r="G602" s="10"/>
      <c r="H602" s="10"/>
      <c r="I602" s="20">
        <f t="shared" si="10"/>
        <v>0</v>
      </c>
      <c r="J602" s="10" t="s">
        <v>1447</v>
      </c>
      <c r="K602" s="10">
        <v>1</v>
      </c>
      <c r="L602" s="4"/>
    </row>
    <row r="603" spans="1:12" hidden="1">
      <c r="A603" s="4"/>
      <c r="B603" s="34" t="s">
        <v>583</v>
      </c>
      <c r="C603" s="10" t="s">
        <v>220</v>
      </c>
      <c r="D603" s="10" t="s">
        <v>1505</v>
      </c>
      <c r="E603" s="4">
        <v>10035371</v>
      </c>
      <c r="F603" s="10" t="s">
        <v>1506</v>
      </c>
      <c r="G603" s="10"/>
      <c r="H603" s="10"/>
      <c r="I603" s="20">
        <f t="shared" si="10"/>
        <v>0</v>
      </c>
      <c r="J603" s="10" t="s">
        <v>1447</v>
      </c>
      <c r="K603" s="10">
        <v>1</v>
      </c>
      <c r="L603" s="4"/>
    </row>
    <row r="604" spans="1:12" hidden="1">
      <c r="A604" s="4"/>
      <c r="B604" s="34" t="s">
        <v>583</v>
      </c>
      <c r="C604" s="10" t="s">
        <v>220</v>
      </c>
      <c r="D604" s="10" t="s">
        <v>227</v>
      </c>
      <c r="E604" s="4">
        <v>10035532</v>
      </c>
      <c r="F604" s="10" t="s">
        <v>557</v>
      </c>
      <c r="G604" s="10"/>
      <c r="H604" s="10"/>
      <c r="I604" s="20">
        <f t="shared" si="10"/>
        <v>0</v>
      </c>
      <c r="J604" s="10" t="s">
        <v>1447</v>
      </c>
      <c r="K604" s="10">
        <v>1</v>
      </c>
      <c r="L604" s="4"/>
    </row>
    <row r="605" spans="1:12" hidden="1">
      <c r="A605" s="4"/>
      <c r="B605" s="34" t="s">
        <v>583</v>
      </c>
      <c r="C605" s="10" t="s">
        <v>220</v>
      </c>
      <c r="D605" s="10" t="s">
        <v>227</v>
      </c>
      <c r="E605" s="4">
        <v>10035735</v>
      </c>
      <c r="F605" s="10" t="s">
        <v>577</v>
      </c>
      <c r="G605" s="10"/>
      <c r="H605" s="10"/>
      <c r="I605" s="20">
        <f t="shared" si="10"/>
        <v>0</v>
      </c>
      <c r="J605" s="10" t="s">
        <v>1447</v>
      </c>
      <c r="K605" s="10">
        <v>1</v>
      </c>
      <c r="L605" s="4"/>
    </row>
    <row r="606" spans="1:12" hidden="1">
      <c r="A606" s="4"/>
      <c r="B606" s="34" t="s">
        <v>583</v>
      </c>
      <c r="C606" s="10" t="s">
        <v>220</v>
      </c>
      <c r="D606" s="10" t="s">
        <v>1507</v>
      </c>
      <c r="E606" s="4">
        <v>10035697</v>
      </c>
      <c r="F606" s="10" t="s">
        <v>1508</v>
      </c>
      <c r="G606" s="10"/>
      <c r="H606" s="10"/>
      <c r="I606" s="20">
        <f t="shared" si="10"/>
        <v>0</v>
      </c>
      <c r="J606" s="10" t="s">
        <v>1447</v>
      </c>
      <c r="K606" s="10">
        <v>1</v>
      </c>
      <c r="L606" s="4"/>
    </row>
    <row r="607" spans="1:12" hidden="1">
      <c r="A607" s="4"/>
      <c r="B607" s="34" t="s">
        <v>583</v>
      </c>
      <c r="C607" s="10" t="s">
        <v>220</v>
      </c>
      <c r="D607" s="10" t="s">
        <v>1507</v>
      </c>
      <c r="E607" s="4">
        <v>10035483</v>
      </c>
      <c r="F607" s="10" t="s">
        <v>1509</v>
      </c>
      <c r="G607" s="10"/>
      <c r="H607" s="10"/>
      <c r="I607" s="20">
        <f t="shared" si="10"/>
        <v>0</v>
      </c>
      <c r="J607" s="10" t="s">
        <v>1447</v>
      </c>
      <c r="K607" s="10">
        <v>1</v>
      </c>
      <c r="L607" s="4"/>
    </row>
    <row r="608" spans="1:12" hidden="1">
      <c r="A608" s="4"/>
      <c r="B608" s="34" t="s">
        <v>583</v>
      </c>
      <c r="C608" s="10" t="s">
        <v>220</v>
      </c>
      <c r="D608" s="10" t="s">
        <v>1510</v>
      </c>
      <c r="E608" s="4">
        <v>10035590</v>
      </c>
      <c r="F608" s="10" t="s">
        <v>566</v>
      </c>
      <c r="G608" s="10"/>
      <c r="H608" s="10"/>
      <c r="I608" s="20">
        <f t="shared" si="10"/>
        <v>0</v>
      </c>
      <c r="J608" s="10" t="s">
        <v>1447</v>
      </c>
      <c r="K608" s="10">
        <v>1</v>
      </c>
      <c r="L608" s="4"/>
    </row>
    <row r="609" spans="1:12" hidden="1">
      <c r="A609" s="4"/>
      <c r="B609" s="34" t="s">
        <v>583</v>
      </c>
      <c r="C609" s="10" t="s">
        <v>220</v>
      </c>
      <c r="D609" s="10" t="s">
        <v>1510</v>
      </c>
      <c r="E609" s="4">
        <v>10035583</v>
      </c>
      <c r="F609" s="10" t="s">
        <v>563</v>
      </c>
      <c r="G609" s="10"/>
      <c r="H609" s="10"/>
      <c r="I609" s="20">
        <f t="shared" si="10"/>
        <v>0</v>
      </c>
      <c r="J609" s="10" t="s">
        <v>1447</v>
      </c>
      <c r="K609" s="10">
        <v>1</v>
      </c>
      <c r="L609" s="4"/>
    </row>
    <row r="610" spans="1:12" hidden="1">
      <c r="A610" s="4"/>
      <c r="B610" s="34" t="s">
        <v>583</v>
      </c>
      <c r="C610" s="10" t="s">
        <v>220</v>
      </c>
      <c r="D610" s="10" t="s">
        <v>1510</v>
      </c>
      <c r="E610" s="4">
        <v>10035562</v>
      </c>
      <c r="F610" s="10" t="s">
        <v>1511</v>
      </c>
      <c r="G610" s="10"/>
      <c r="H610" s="10"/>
      <c r="I610" s="20">
        <f t="shared" si="10"/>
        <v>0</v>
      </c>
      <c r="J610" s="10" t="s">
        <v>1447</v>
      </c>
      <c r="K610" s="10">
        <v>1</v>
      </c>
      <c r="L610" s="4"/>
    </row>
    <row r="611" spans="1:12" hidden="1">
      <c r="A611" s="4"/>
      <c r="B611" s="34" t="s">
        <v>583</v>
      </c>
      <c r="C611" s="10" t="s">
        <v>220</v>
      </c>
      <c r="D611" s="10" t="s">
        <v>1510</v>
      </c>
      <c r="E611" s="4">
        <v>10035769</v>
      </c>
      <c r="F611" s="10" t="s">
        <v>1512</v>
      </c>
      <c r="G611" s="10"/>
      <c r="H611" s="10"/>
      <c r="I611" s="20">
        <f t="shared" si="10"/>
        <v>0</v>
      </c>
      <c r="J611" s="10" t="s">
        <v>1447</v>
      </c>
      <c r="K611" s="10">
        <v>1</v>
      </c>
      <c r="L611" s="4"/>
    </row>
    <row r="612" spans="1:12" hidden="1">
      <c r="A612" s="4"/>
      <c r="B612" s="34" t="s">
        <v>583</v>
      </c>
      <c r="C612" s="10" t="s">
        <v>220</v>
      </c>
      <c r="D612" s="10" t="s">
        <v>1510</v>
      </c>
      <c r="E612" s="4">
        <v>10035775</v>
      </c>
      <c r="F612" s="10" t="s">
        <v>1513</v>
      </c>
      <c r="G612" s="10"/>
      <c r="H612" s="10"/>
      <c r="I612" s="20">
        <f t="shared" si="10"/>
        <v>0</v>
      </c>
      <c r="J612" s="10" t="s">
        <v>1447</v>
      </c>
      <c r="K612" s="10">
        <v>1</v>
      </c>
      <c r="L612" s="4"/>
    </row>
    <row r="613" spans="1:12" hidden="1">
      <c r="A613" s="4"/>
      <c r="B613" s="4" t="s">
        <v>1514</v>
      </c>
      <c r="C613" s="10" t="s">
        <v>629</v>
      </c>
      <c r="D613" s="10" t="s">
        <v>651</v>
      </c>
      <c r="E613" s="4"/>
      <c r="F613" s="10" t="s">
        <v>1515</v>
      </c>
      <c r="G613" s="10"/>
      <c r="H613" s="10"/>
      <c r="I613" s="20">
        <f t="shared" si="10"/>
        <v>0</v>
      </c>
      <c r="J613" s="10" t="s">
        <v>1516</v>
      </c>
      <c r="K613" s="10">
        <v>1</v>
      </c>
      <c r="L613" s="4"/>
    </row>
    <row r="614" spans="1:12" hidden="1">
      <c r="A614" s="4"/>
      <c r="B614" s="34" t="s">
        <v>583</v>
      </c>
      <c r="C614" s="10" t="s">
        <v>629</v>
      </c>
      <c r="D614" s="10" t="s">
        <v>651</v>
      </c>
      <c r="E614" s="4"/>
      <c r="F614" s="10" t="s">
        <v>1517</v>
      </c>
      <c r="G614" s="10"/>
      <c r="H614" s="10"/>
      <c r="I614" s="20">
        <f t="shared" si="10"/>
        <v>0</v>
      </c>
      <c r="J614" s="10" t="s">
        <v>1516</v>
      </c>
      <c r="K614" s="10">
        <v>1</v>
      </c>
      <c r="L614" s="4"/>
    </row>
    <row r="615" spans="1:12" hidden="1">
      <c r="A615" s="4"/>
      <c r="B615" s="34" t="s">
        <v>583</v>
      </c>
      <c r="C615" s="10" t="s">
        <v>629</v>
      </c>
      <c r="D615" s="10" t="s">
        <v>1351</v>
      </c>
      <c r="E615" s="4"/>
      <c r="F615" s="10" t="s">
        <v>1518</v>
      </c>
      <c r="G615" s="10"/>
      <c r="H615" s="10"/>
      <c r="I615" s="20">
        <f t="shared" si="10"/>
        <v>0</v>
      </c>
      <c r="J615" s="10" t="s">
        <v>1516</v>
      </c>
      <c r="K615" s="10">
        <v>1</v>
      </c>
      <c r="L615" s="4"/>
    </row>
    <row r="616" spans="1:12" hidden="1">
      <c r="A616" s="4"/>
      <c r="B616" s="34" t="s">
        <v>583</v>
      </c>
      <c r="C616" s="10" t="s">
        <v>629</v>
      </c>
      <c r="D616" s="10" t="s">
        <v>1351</v>
      </c>
      <c r="E616" s="4"/>
      <c r="F616" s="10" t="s">
        <v>1519</v>
      </c>
      <c r="G616" s="10"/>
      <c r="H616" s="10"/>
      <c r="I616" s="20">
        <f t="shared" si="10"/>
        <v>0</v>
      </c>
      <c r="J616" s="10" t="s">
        <v>1516</v>
      </c>
      <c r="K616" s="10">
        <v>1</v>
      </c>
      <c r="L616" s="4"/>
    </row>
    <row r="617" spans="1:12" hidden="1">
      <c r="A617" s="4"/>
      <c r="B617" s="34" t="s">
        <v>583</v>
      </c>
      <c r="C617" s="10" t="s">
        <v>629</v>
      </c>
      <c r="D617" s="10" t="s">
        <v>1351</v>
      </c>
      <c r="E617" s="4"/>
      <c r="F617" s="10" t="s">
        <v>1520</v>
      </c>
      <c r="G617" s="10"/>
      <c r="H617" s="10"/>
      <c r="I617" s="20">
        <f t="shared" si="10"/>
        <v>0</v>
      </c>
      <c r="J617" s="10" t="s">
        <v>1516</v>
      </c>
      <c r="K617" s="10">
        <v>1</v>
      </c>
      <c r="L617" s="4"/>
    </row>
    <row r="618" spans="1:12" hidden="1">
      <c r="A618" s="4"/>
      <c r="B618" s="34" t="s">
        <v>583</v>
      </c>
      <c r="C618" s="10" t="s">
        <v>629</v>
      </c>
      <c r="D618" s="10" t="s">
        <v>1351</v>
      </c>
      <c r="E618" s="4"/>
      <c r="F618" s="10" t="s">
        <v>1521</v>
      </c>
      <c r="G618" s="10"/>
      <c r="H618" s="10"/>
      <c r="I618" s="20">
        <f t="shared" si="10"/>
        <v>0</v>
      </c>
      <c r="J618" s="10" t="s">
        <v>1516</v>
      </c>
      <c r="K618" s="10">
        <v>1</v>
      </c>
      <c r="L618" s="4"/>
    </row>
    <row r="619" spans="1:12" hidden="1">
      <c r="A619" s="4"/>
      <c r="B619" s="34" t="s">
        <v>583</v>
      </c>
      <c r="C619" s="10" t="s">
        <v>629</v>
      </c>
      <c r="D619" s="10" t="s">
        <v>1351</v>
      </c>
      <c r="E619" s="4"/>
      <c r="F619" s="10" t="s">
        <v>1522</v>
      </c>
      <c r="G619" s="10"/>
      <c r="H619" s="10"/>
      <c r="I619" s="20">
        <f t="shared" si="10"/>
        <v>0</v>
      </c>
      <c r="J619" s="10" t="s">
        <v>1516</v>
      </c>
      <c r="K619" s="10">
        <v>1</v>
      </c>
      <c r="L619" s="4"/>
    </row>
    <row r="620" spans="1:12" hidden="1">
      <c r="A620" s="4"/>
      <c r="B620" s="34" t="s">
        <v>1435</v>
      </c>
      <c r="C620" s="10" t="s">
        <v>629</v>
      </c>
      <c r="D620" s="10" t="s">
        <v>1351</v>
      </c>
      <c r="E620" s="4"/>
      <c r="F620" s="10" t="s">
        <v>1523</v>
      </c>
      <c r="G620" s="10"/>
      <c r="H620" s="10"/>
      <c r="I620" s="20">
        <f t="shared" si="10"/>
        <v>0</v>
      </c>
      <c r="J620" s="10" t="s">
        <v>1516</v>
      </c>
      <c r="K620" s="10">
        <v>1</v>
      </c>
      <c r="L620" s="4"/>
    </row>
    <row r="621" spans="1:12" hidden="1">
      <c r="A621" s="4"/>
      <c r="B621" s="4" t="s">
        <v>583</v>
      </c>
      <c r="C621" s="10" t="s">
        <v>68</v>
      </c>
      <c r="D621" s="10" t="s">
        <v>1524</v>
      </c>
      <c r="E621" s="4"/>
      <c r="F621" s="10" t="s">
        <v>1525</v>
      </c>
      <c r="G621" s="19"/>
      <c r="H621" s="19"/>
      <c r="I621" s="20">
        <f t="shared" si="10"/>
        <v>0</v>
      </c>
      <c r="J621" s="10" t="s">
        <v>178</v>
      </c>
      <c r="K621" s="10">
        <v>1</v>
      </c>
      <c r="L621" s="5"/>
    </row>
    <row r="622" spans="1:12" hidden="1">
      <c r="A622" s="4"/>
      <c r="B622" s="4" t="s">
        <v>583</v>
      </c>
      <c r="C622" s="10" t="s">
        <v>68</v>
      </c>
      <c r="D622" s="10" t="s">
        <v>1524</v>
      </c>
      <c r="E622" s="4"/>
      <c r="F622" s="10" t="s">
        <v>1526</v>
      </c>
      <c r="G622" s="19"/>
      <c r="H622" s="19"/>
      <c r="I622" s="20">
        <f t="shared" si="10"/>
        <v>0</v>
      </c>
      <c r="J622" s="10" t="s">
        <v>178</v>
      </c>
      <c r="K622" s="10">
        <v>1</v>
      </c>
      <c r="L622" s="5"/>
    </row>
    <row r="623" spans="1:12" hidden="1">
      <c r="A623" s="4"/>
      <c r="B623" s="4" t="s">
        <v>583</v>
      </c>
      <c r="C623" s="10" t="s">
        <v>68</v>
      </c>
      <c r="D623" s="10" t="s">
        <v>1524</v>
      </c>
      <c r="E623" s="4"/>
      <c r="F623" s="10" t="s">
        <v>1527</v>
      </c>
      <c r="G623" s="19"/>
      <c r="H623" s="19"/>
      <c r="I623" s="20">
        <f t="shared" si="10"/>
        <v>0</v>
      </c>
      <c r="J623" s="10" t="s">
        <v>178</v>
      </c>
      <c r="K623" s="10">
        <v>1</v>
      </c>
      <c r="L623" s="5"/>
    </row>
    <row r="624" spans="1:12" hidden="1">
      <c r="A624" s="4"/>
      <c r="B624" s="4" t="s">
        <v>583</v>
      </c>
      <c r="C624" s="10" t="s">
        <v>68</v>
      </c>
      <c r="D624" s="10" t="s">
        <v>1524</v>
      </c>
      <c r="E624" s="4"/>
      <c r="F624" s="10" t="s">
        <v>1528</v>
      </c>
      <c r="G624" s="19"/>
      <c r="H624" s="19"/>
      <c r="I624" s="20">
        <f t="shared" si="10"/>
        <v>0</v>
      </c>
      <c r="J624" s="10" t="s">
        <v>178</v>
      </c>
      <c r="K624" s="10">
        <v>1</v>
      </c>
      <c r="L624" s="5"/>
    </row>
    <row r="625" spans="1:12" hidden="1">
      <c r="A625" s="4"/>
      <c r="B625" s="4" t="s">
        <v>583</v>
      </c>
      <c r="C625" s="10" t="s">
        <v>68</v>
      </c>
      <c r="D625" s="10" t="s">
        <v>1524</v>
      </c>
      <c r="E625" s="4"/>
      <c r="F625" s="10" t="s">
        <v>1529</v>
      </c>
      <c r="G625" s="19"/>
      <c r="H625" s="19"/>
      <c r="I625" s="20">
        <f t="shared" si="10"/>
        <v>0</v>
      </c>
      <c r="J625" s="10" t="s">
        <v>178</v>
      </c>
      <c r="K625" s="10">
        <v>1</v>
      </c>
      <c r="L625" s="5"/>
    </row>
    <row r="626" spans="1:12" hidden="1">
      <c r="A626" s="4"/>
      <c r="B626" s="4" t="s">
        <v>583</v>
      </c>
      <c r="C626" s="10" t="s">
        <v>68</v>
      </c>
      <c r="D626" s="10" t="s">
        <v>1524</v>
      </c>
      <c r="E626" s="4"/>
      <c r="F626" s="10" t="s">
        <v>1530</v>
      </c>
      <c r="G626" s="19"/>
      <c r="H626" s="19"/>
      <c r="I626" s="20">
        <f t="shared" si="10"/>
        <v>0</v>
      </c>
      <c r="J626" s="10" t="s">
        <v>178</v>
      </c>
      <c r="K626" s="10">
        <v>1</v>
      </c>
      <c r="L626" s="5"/>
    </row>
    <row r="627" spans="1:12" hidden="1">
      <c r="A627" s="4"/>
      <c r="B627" s="4" t="s">
        <v>583</v>
      </c>
      <c r="C627" s="10" t="s">
        <v>68</v>
      </c>
      <c r="D627" s="10" t="s">
        <v>635</v>
      </c>
      <c r="E627" s="4"/>
      <c r="F627" s="10" t="s">
        <v>74</v>
      </c>
      <c r="G627" s="19"/>
      <c r="H627" s="19"/>
      <c r="I627" s="20">
        <f t="shared" si="10"/>
        <v>0</v>
      </c>
      <c r="J627" s="10" t="s">
        <v>178</v>
      </c>
      <c r="K627" s="10">
        <v>1</v>
      </c>
      <c r="L627" s="5"/>
    </row>
    <row r="628" spans="1:12" hidden="1">
      <c r="A628" s="4"/>
      <c r="B628" s="4" t="s">
        <v>583</v>
      </c>
      <c r="C628" s="10" t="s">
        <v>1060</v>
      </c>
      <c r="D628" s="10" t="s">
        <v>1077</v>
      </c>
      <c r="E628" s="4"/>
      <c r="F628" s="26" t="s">
        <v>1531</v>
      </c>
      <c r="G628" s="19"/>
      <c r="H628" s="19"/>
      <c r="I628" s="20">
        <f t="shared" si="10"/>
        <v>0</v>
      </c>
      <c r="J628" s="10" t="s">
        <v>1147</v>
      </c>
      <c r="K628" s="10">
        <v>1000</v>
      </c>
      <c r="L628" s="5"/>
    </row>
    <row r="629" spans="1:12" hidden="1">
      <c r="A629" s="4"/>
      <c r="B629" s="4" t="s">
        <v>583</v>
      </c>
      <c r="C629" s="10" t="s">
        <v>1060</v>
      </c>
      <c r="D629" s="10" t="s">
        <v>1077</v>
      </c>
      <c r="E629" s="4"/>
      <c r="F629" s="26" t="s">
        <v>1532</v>
      </c>
      <c r="G629" s="19"/>
      <c r="H629" s="19"/>
      <c r="I629" s="20">
        <f t="shared" si="10"/>
        <v>0</v>
      </c>
      <c r="J629" s="10" t="s">
        <v>1147</v>
      </c>
      <c r="K629" s="10">
        <v>1000</v>
      </c>
      <c r="L629" s="5"/>
    </row>
    <row r="630" spans="1:12" hidden="1">
      <c r="A630" s="4"/>
      <c r="B630" s="4" t="s">
        <v>583</v>
      </c>
      <c r="C630" s="10" t="s">
        <v>1060</v>
      </c>
      <c r="D630" s="10" t="s">
        <v>1107</v>
      </c>
      <c r="E630" s="4"/>
      <c r="F630" s="26" t="s">
        <v>1533</v>
      </c>
      <c r="G630" s="19"/>
      <c r="H630" s="19"/>
      <c r="I630" s="20">
        <f t="shared" si="10"/>
        <v>0</v>
      </c>
      <c r="J630" s="10" t="s">
        <v>1147</v>
      </c>
      <c r="K630" s="10">
        <v>1000</v>
      </c>
      <c r="L630" s="5"/>
    </row>
    <row r="631" spans="1:12" hidden="1">
      <c r="A631" s="4"/>
      <c r="B631" s="4" t="s">
        <v>583</v>
      </c>
      <c r="C631" s="10" t="s">
        <v>543</v>
      </c>
      <c r="D631" s="10" t="s">
        <v>1534</v>
      </c>
      <c r="E631" s="4"/>
      <c r="F631" s="10" t="s">
        <v>1535</v>
      </c>
      <c r="G631" s="10"/>
      <c r="H631" s="10"/>
      <c r="I631" s="20">
        <f t="shared" si="10"/>
        <v>0</v>
      </c>
      <c r="J631" s="10" t="s">
        <v>586</v>
      </c>
      <c r="K631" s="10">
        <v>1</v>
      </c>
      <c r="L631" s="4"/>
    </row>
    <row r="632" spans="1:12" hidden="1">
      <c r="A632" s="4"/>
      <c r="B632" s="4" t="s">
        <v>583</v>
      </c>
      <c r="C632" s="10" t="s">
        <v>543</v>
      </c>
      <c r="D632" s="10" t="s">
        <v>1536</v>
      </c>
      <c r="E632" s="4"/>
      <c r="F632" s="10" t="s">
        <v>1537</v>
      </c>
      <c r="G632" s="10"/>
      <c r="H632" s="10"/>
      <c r="I632" s="20">
        <f t="shared" si="10"/>
        <v>0</v>
      </c>
      <c r="J632" s="10" t="s">
        <v>586</v>
      </c>
      <c r="K632" s="10">
        <v>1</v>
      </c>
      <c r="L632" s="4"/>
    </row>
    <row r="633" spans="1:12" hidden="1">
      <c r="A633" s="4"/>
      <c r="B633" s="4" t="s">
        <v>583</v>
      </c>
      <c r="C633" s="10" t="s">
        <v>543</v>
      </c>
      <c r="D633" s="10" t="s">
        <v>544</v>
      </c>
      <c r="E633" s="4"/>
      <c r="F633" s="10" t="s">
        <v>1538</v>
      </c>
      <c r="G633" s="10"/>
      <c r="H633" s="10"/>
      <c r="I633" s="20">
        <f t="shared" si="10"/>
        <v>0</v>
      </c>
      <c r="J633" s="10" t="s">
        <v>586</v>
      </c>
      <c r="K633" s="10">
        <v>1</v>
      </c>
      <c r="L633" s="4"/>
    </row>
    <row r="634" spans="1:12" hidden="1">
      <c r="A634" s="4"/>
      <c r="B634" s="4" t="s">
        <v>583</v>
      </c>
      <c r="C634" s="10" t="s">
        <v>543</v>
      </c>
      <c r="D634" s="10" t="s">
        <v>544</v>
      </c>
      <c r="E634" s="4"/>
      <c r="F634" s="10" t="s">
        <v>1539</v>
      </c>
      <c r="G634" s="10"/>
      <c r="H634" s="10"/>
      <c r="I634" s="20">
        <f t="shared" si="10"/>
        <v>0</v>
      </c>
      <c r="J634" s="10" t="s">
        <v>586</v>
      </c>
      <c r="K634" s="10">
        <v>1</v>
      </c>
      <c r="L634" s="4"/>
    </row>
    <row r="635" spans="1:12" hidden="1">
      <c r="A635" s="4"/>
      <c r="B635" s="4" t="s">
        <v>583</v>
      </c>
      <c r="C635" s="10" t="s">
        <v>543</v>
      </c>
      <c r="D635" s="10" t="s">
        <v>1540</v>
      </c>
      <c r="E635" s="4"/>
      <c r="F635" s="10" t="s">
        <v>1541</v>
      </c>
      <c r="G635" s="10"/>
      <c r="H635" s="10"/>
      <c r="I635" s="20">
        <f t="shared" si="10"/>
        <v>0</v>
      </c>
      <c r="J635" s="10" t="s">
        <v>586</v>
      </c>
      <c r="K635" s="10">
        <v>1</v>
      </c>
      <c r="L635" s="4"/>
    </row>
    <row r="636" spans="1:12" hidden="1">
      <c r="A636" s="4"/>
      <c r="B636" s="4" t="s">
        <v>583</v>
      </c>
      <c r="C636" s="10" t="s">
        <v>543</v>
      </c>
      <c r="D636" s="10" t="s">
        <v>1540</v>
      </c>
      <c r="E636" s="4"/>
      <c r="F636" s="10" t="s">
        <v>1542</v>
      </c>
      <c r="G636" s="10"/>
      <c r="H636" s="10"/>
      <c r="I636" s="20">
        <f t="shared" si="10"/>
        <v>0</v>
      </c>
      <c r="J636" s="10" t="s">
        <v>586</v>
      </c>
      <c r="K636" s="10">
        <v>1</v>
      </c>
      <c r="L636" s="4"/>
    </row>
    <row r="637" spans="1:12" hidden="1">
      <c r="A637" s="4"/>
      <c r="B637" s="4" t="s">
        <v>583</v>
      </c>
      <c r="C637" s="10" t="s">
        <v>543</v>
      </c>
      <c r="D637" s="10" t="s">
        <v>1543</v>
      </c>
      <c r="E637" s="4"/>
      <c r="F637" s="10" t="s">
        <v>1544</v>
      </c>
      <c r="G637" s="10"/>
      <c r="H637" s="10"/>
      <c r="I637" s="20">
        <f t="shared" si="10"/>
        <v>0</v>
      </c>
      <c r="J637" s="10" t="s">
        <v>586</v>
      </c>
      <c r="K637" s="10">
        <v>1</v>
      </c>
      <c r="L637" s="4"/>
    </row>
    <row r="638" spans="1:12" hidden="1">
      <c r="A638" s="4"/>
      <c r="B638" s="4" t="s">
        <v>583</v>
      </c>
      <c r="C638" s="10" t="s">
        <v>543</v>
      </c>
      <c r="D638" s="10" t="s">
        <v>1543</v>
      </c>
      <c r="E638" s="4"/>
      <c r="F638" s="10" t="s">
        <v>1545</v>
      </c>
      <c r="G638" s="10"/>
      <c r="H638" s="10"/>
      <c r="I638" s="20">
        <f t="shared" si="10"/>
        <v>0</v>
      </c>
      <c r="J638" s="10" t="s">
        <v>586</v>
      </c>
      <c r="K638" s="10">
        <v>1</v>
      </c>
      <c r="L638" s="4"/>
    </row>
    <row r="639" spans="1:12" hidden="1">
      <c r="A639" s="4"/>
      <c r="B639" s="4" t="s">
        <v>583</v>
      </c>
      <c r="C639" s="10" t="s">
        <v>543</v>
      </c>
      <c r="D639" s="10" t="s">
        <v>1543</v>
      </c>
      <c r="E639" s="4"/>
      <c r="F639" s="10" t="s">
        <v>1546</v>
      </c>
      <c r="G639" s="10"/>
      <c r="H639" s="10"/>
      <c r="I639" s="20">
        <f t="shared" si="10"/>
        <v>0</v>
      </c>
      <c r="J639" s="10" t="s">
        <v>586</v>
      </c>
      <c r="K639" s="10">
        <v>1</v>
      </c>
      <c r="L639" s="4"/>
    </row>
    <row r="640" spans="1:12" hidden="1">
      <c r="A640" s="4"/>
      <c r="B640" s="4" t="s">
        <v>583</v>
      </c>
      <c r="C640" s="10" t="s">
        <v>543</v>
      </c>
      <c r="D640" s="10" t="s">
        <v>1547</v>
      </c>
      <c r="E640" s="4"/>
      <c r="F640" s="10" t="s">
        <v>1548</v>
      </c>
      <c r="G640" s="10"/>
      <c r="H640" s="10"/>
      <c r="I640" s="20">
        <f t="shared" si="10"/>
        <v>0</v>
      </c>
      <c r="J640" s="10" t="s">
        <v>586</v>
      </c>
      <c r="K640" s="10">
        <v>1</v>
      </c>
      <c r="L640" s="4"/>
    </row>
    <row r="641" spans="1:12" hidden="1">
      <c r="A641" s="4"/>
      <c r="B641" s="4" t="s">
        <v>583</v>
      </c>
      <c r="C641" s="10" t="s">
        <v>543</v>
      </c>
      <c r="D641" s="10" t="s">
        <v>1547</v>
      </c>
      <c r="E641" s="4"/>
      <c r="F641" s="10" t="s">
        <v>1549</v>
      </c>
      <c r="G641" s="10"/>
      <c r="H641" s="10"/>
      <c r="I641" s="20">
        <f t="shared" si="10"/>
        <v>0</v>
      </c>
      <c r="J641" s="10" t="s">
        <v>586</v>
      </c>
      <c r="K641" s="10">
        <v>1</v>
      </c>
      <c r="L641" s="4"/>
    </row>
    <row r="642" spans="1:12" hidden="1">
      <c r="A642" s="4"/>
      <c r="B642" s="4" t="s">
        <v>583</v>
      </c>
      <c r="C642" s="10" t="s">
        <v>543</v>
      </c>
      <c r="D642" s="10" t="s">
        <v>1547</v>
      </c>
      <c r="E642" s="4"/>
      <c r="F642" s="10" t="s">
        <v>1550</v>
      </c>
      <c r="G642" s="10"/>
      <c r="H642" s="10"/>
      <c r="I642" s="20">
        <f t="shared" si="10"/>
        <v>0</v>
      </c>
      <c r="J642" s="10" t="s">
        <v>586</v>
      </c>
      <c r="K642" s="10">
        <v>1</v>
      </c>
      <c r="L642" s="4"/>
    </row>
    <row r="643" spans="1:12" hidden="1">
      <c r="A643" s="4"/>
      <c r="B643" s="4" t="s">
        <v>583</v>
      </c>
      <c r="C643" s="10" t="s">
        <v>543</v>
      </c>
      <c r="D643" s="10" t="s">
        <v>1547</v>
      </c>
      <c r="E643" s="4"/>
      <c r="F643" s="10" t="s">
        <v>1551</v>
      </c>
      <c r="G643" s="10"/>
      <c r="H643" s="10"/>
      <c r="I643" s="20">
        <f t="shared" si="10"/>
        <v>0</v>
      </c>
      <c r="J643" s="10" t="s">
        <v>586</v>
      </c>
      <c r="K643" s="10">
        <v>1</v>
      </c>
      <c r="L643" s="4"/>
    </row>
    <row r="644" spans="1:12" hidden="1">
      <c r="A644" s="4"/>
      <c r="B644" s="4" t="s">
        <v>583</v>
      </c>
      <c r="C644" s="10" t="s">
        <v>543</v>
      </c>
      <c r="D644" s="10" t="s">
        <v>1552</v>
      </c>
      <c r="E644" s="4"/>
      <c r="F644" s="10" t="s">
        <v>1553</v>
      </c>
      <c r="G644" s="30"/>
      <c r="H644" s="10"/>
      <c r="I644" s="20">
        <f t="shared" si="10"/>
        <v>0</v>
      </c>
      <c r="J644" s="10" t="s">
        <v>586</v>
      </c>
      <c r="K644" s="10">
        <v>1</v>
      </c>
      <c r="L644" s="4"/>
    </row>
    <row r="645" spans="1:12" hidden="1">
      <c r="A645" s="4"/>
      <c r="B645" s="4" t="s">
        <v>583</v>
      </c>
      <c r="C645" s="10" t="s">
        <v>68</v>
      </c>
      <c r="D645" s="10" t="s">
        <v>635</v>
      </c>
      <c r="E645" s="4"/>
      <c r="F645" s="10" t="s">
        <v>1554</v>
      </c>
      <c r="G645" s="19"/>
      <c r="H645" s="19"/>
      <c r="I645" s="20">
        <f t="shared" si="10"/>
        <v>0</v>
      </c>
      <c r="J645" s="10" t="s">
        <v>178</v>
      </c>
      <c r="K645" s="10">
        <v>1</v>
      </c>
      <c r="L645" s="5"/>
    </row>
    <row r="646" spans="1:12" hidden="1">
      <c r="A646" s="4"/>
      <c r="B646" s="4" t="s">
        <v>583</v>
      </c>
      <c r="C646" s="10" t="s">
        <v>68</v>
      </c>
      <c r="D646" s="10" t="s">
        <v>635</v>
      </c>
      <c r="E646" s="4"/>
      <c r="F646" s="10" t="s">
        <v>70</v>
      </c>
      <c r="G646" s="19"/>
      <c r="H646" s="19"/>
      <c r="I646" s="20">
        <f t="shared" si="10"/>
        <v>0</v>
      </c>
      <c r="J646" s="10" t="s">
        <v>178</v>
      </c>
      <c r="K646" s="10">
        <v>1</v>
      </c>
      <c r="L646" s="5"/>
    </row>
    <row r="647" spans="1:12" hidden="1">
      <c r="A647" s="4"/>
      <c r="B647" s="4" t="s">
        <v>583</v>
      </c>
      <c r="C647" s="10" t="s">
        <v>68</v>
      </c>
      <c r="D647" s="10" t="s">
        <v>635</v>
      </c>
      <c r="E647" s="4"/>
      <c r="F647" s="10" t="s">
        <v>1555</v>
      </c>
      <c r="G647" s="19"/>
      <c r="H647" s="19"/>
      <c r="I647" s="20">
        <f t="shared" si="10"/>
        <v>0</v>
      </c>
      <c r="J647" s="10" t="s">
        <v>178</v>
      </c>
      <c r="K647" s="10">
        <v>1</v>
      </c>
      <c r="L647" s="5"/>
    </row>
    <row r="648" spans="1:12" hidden="1">
      <c r="A648" s="4"/>
      <c r="B648" s="4" t="s">
        <v>583</v>
      </c>
      <c r="C648" s="10" t="s">
        <v>68</v>
      </c>
      <c r="D648" s="10" t="s">
        <v>635</v>
      </c>
      <c r="E648" s="4"/>
      <c r="F648" s="10" t="s">
        <v>1556</v>
      </c>
      <c r="G648" s="19"/>
      <c r="H648" s="19"/>
      <c r="I648" s="20">
        <f t="shared" si="10"/>
        <v>0</v>
      </c>
      <c r="J648" s="10" t="s">
        <v>178</v>
      </c>
      <c r="K648" s="10">
        <v>1</v>
      </c>
      <c r="L648" s="5"/>
    </row>
    <row r="649" spans="1:12" hidden="1">
      <c r="A649" s="4"/>
      <c r="B649" s="4" t="s">
        <v>583</v>
      </c>
      <c r="C649" s="10" t="s">
        <v>68</v>
      </c>
      <c r="D649" s="10" t="s">
        <v>635</v>
      </c>
      <c r="E649" s="4"/>
      <c r="F649" s="10" t="s">
        <v>1557</v>
      </c>
      <c r="G649" s="19"/>
      <c r="H649" s="19"/>
      <c r="I649" s="20">
        <f t="shared" si="10"/>
        <v>0</v>
      </c>
      <c r="J649" s="10" t="s">
        <v>178</v>
      </c>
      <c r="K649" s="10">
        <v>1</v>
      </c>
      <c r="L649" s="5"/>
    </row>
    <row r="650" spans="1:12" hidden="1">
      <c r="A650" s="4"/>
      <c r="B650" s="4" t="s">
        <v>583</v>
      </c>
      <c r="C650" s="10" t="s">
        <v>68</v>
      </c>
      <c r="D650" s="10" t="s">
        <v>193</v>
      </c>
      <c r="E650" s="4"/>
      <c r="F650" s="10" t="s">
        <v>194</v>
      </c>
      <c r="G650" s="19"/>
      <c r="H650" s="19"/>
      <c r="I650" s="20">
        <f t="shared" si="10"/>
        <v>0</v>
      </c>
      <c r="J650" s="10" t="s">
        <v>178</v>
      </c>
      <c r="K650" s="10">
        <v>1</v>
      </c>
      <c r="L650" s="5"/>
    </row>
    <row r="651" spans="1:12">
      <c r="A651" s="4"/>
      <c r="B651" s="42" t="s">
        <v>1558</v>
      </c>
      <c r="C651" s="26" t="s">
        <v>522</v>
      </c>
      <c r="D651" s="10" t="str">
        <f>VLOOKUP(B651,[11]LPN!$A:$C,3,FALSE)</f>
        <v xml:space="preserve">Solinet 15/40 </v>
      </c>
      <c r="E651" s="4"/>
      <c r="F651" s="10" t="s">
        <v>1559</v>
      </c>
      <c r="G651" s="10"/>
      <c r="H651" s="10"/>
      <c r="I651" s="20">
        <f t="shared" si="10"/>
        <v>0</v>
      </c>
      <c r="J651" s="10" t="s">
        <v>178</v>
      </c>
      <c r="K651" s="10">
        <v>1</v>
      </c>
      <c r="L651" s="4"/>
    </row>
    <row r="652" spans="1:12" hidden="1">
      <c r="A652" s="4"/>
      <c r="B652" s="34" t="s">
        <v>583</v>
      </c>
      <c r="C652" s="10" t="s">
        <v>220</v>
      </c>
      <c r="D652" s="10" t="s">
        <v>227</v>
      </c>
      <c r="E652" s="4">
        <v>10035685</v>
      </c>
      <c r="F652" s="10" t="s">
        <v>571</v>
      </c>
      <c r="G652" s="10"/>
      <c r="H652" s="10"/>
      <c r="I652" s="20">
        <f t="shared" ref="I652:I710" si="11">G652+H652</f>
        <v>0</v>
      </c>
      <c r="J652" s="10" t="s">
        <v>178</v>
      </c>
      <c r="K652" s="10">
        <v>1</v>
      </c>
      <c r="L652" s="4"/>
    </row>
    <row r="653" spans="1:12" hidden="1">
      <c r="A653" s="4"/>
      <c r="B653" s="34" t="s">
        <v>583</v>
      </c>
      <c r="C653" s="10" t="s">
        <v>220</v>
      </c>
      <c r="D653" s="10" t="s">
        <v>227</v>
      </c>
      <c r="E653" s="4">
        <v>10035686</v>
      </c>
      <c r="F653" s="10" t="s">
        <v>574</v>
      </c>
      <c r="G653" s="10"/>
      <c r="H653" s="10"/>
      <c r="I653" s="20">
        <f t="shared" si="11"/>
        <v>0</v>
      </c>
      <c r="J653" s="10" t="s">
        <v>178</v>
      </c>
      <c r="K653" s="10">
        <v>1</v>
      </c>
      <c r="L653" s="4"/>
    </row>
    <row r="654" spans="1:12" hidden="1">
      <c r="A654" s="4"/>
      <c r="B654" s="4" t="s">
        <v>583</v>
      </c>
      <c r="C654" s="10" t="s">
        <v>543</v>
      </c>
      <c r="D654" s="10" t="s">
        <v>1552</v>
      </c>
      <c r="E654" s="4"/>
      <c r="F654" s="10" t="s">
        <v>1560</v>
      </c>
      <c r="G654" s="10"/>
      <c r="H654" s="10"/>
      <c r="I654" s="20">
        <f t="shared" si="11"/>
        <v>0</v>
      </c>
      <c r="J654" s="10" t="s">
        <v>586</v>
      </c>
      <c r="K654" s="10">
        <v>1</v>
      </c>
      <c r="L654" s="4"/>
    </row>
    <row r="655" spans="1:12" hidden="1">
      <c r="A655" s="4"/>
      <c r="B655" s="4" t="s">
        <v>583</v>
      </c>
      <c r="C655" s="10" t="s">
        <v>543</v>
      </c>
      <c r="D655" s="10" t="s">
        <v>1561</v>
      </c>
      <c r="E655" s="4"/>
      <c r="F655" s="10" t="s">
        <v>1562</v>
      </c>
      <c r="G655" s="30"/>
      <c r="H655" s="10"/>
      <c r="I655" s="20">
        <f t="shared" si="11"/>
        <v>0</v>
      </c>
      <c r="J655" s="10" t="s">
        <v>586</v>
      </c>
      <c r="K655" s="10">
        <v>1</v>
      </c>
      <c r="L655" s="4"/>
    </row>
    <row r="656" spans="1:12" hidden="1">
      <c r="A656" s="4"/>
      <c r="B656" s="4" t="s">
        <v>583</v>
      </c>
      <c r="C656" s="10" t="s">
        <v>543</v>
      </c>
      <c r="D656" s="10" t="s">
        <v>1561</v>
      </c>
      <c r="E656" s="4"/>
      <c r="F656" s="10" t="s">
        <v>1563</v>
      </c>
      <c r="G656" s="30"/>
      <c r="H656" s="10"/>
      <c r="I656" s="20">
        <f t="shared" si="11"/>
        <v>0</v>
      </c>
      <c r="J656" s="10" t="s">
        <v>586</v>
      </c>
      <c r="K656" s="10">
        <v>1</v>
      </c>
      <c r="L656" s="4"/>
    </row>
    <row r="657" spans="1:12" hidden="1">
      <c r="A657" s="4"/>
      <c r="B657" s="4" t="s">
        <v>583</v>
      </c>
      <c r="C657" s="10" t="s">
        <v>543</v>
      </c>
      <c r="D657" s="10" t="s">
        <v>1561</v>
      </c>
      <c r="E657" s="4"/>
      <c r="F657" s="10" t="s">
        <v>1564</v>
      </c>
      <c r="G657" s="4"/>
      <c r="H657" s="10"/>
      <c r="I657" s="20">
        <f t="shared" si="11"/>
        <v>0</v>
      </c>
      <c r="J657" s="10" t="s">
        <v>586</v>
      </c>
      <c r="K657" s="10">
        <v>1</v>
      </c>
      <c r="L657" s="4"/>
    </row>
    <row r="658" spans="1:12" hidden="1">
      <c r="A658" s="4"/>
      <c r="B658" s="4" t="s">
        <v>583</v>
      </c>
      <c r="C658" s="10" t="s">
        <v>543</v>
      </c>
      <c r="D658" s="10" t="s">
        <v>1565</v>
      </c>
      <c r="E658" s="4"/>
      <c r="F658" s="10" t="s">
        <v>1566</v>
      </c>
      <c r="G658" s="30"/>
      <c r="H658" s="10"/>
      <c r="I658" s="20">
        <f t="shared" si="11"/>
        <v>0</v>
      </c>
      <c r="J658" s="10" t="s">
        <v>586</v>
      </c>
      <c r="K658" s="10">
        <v>1</v>
      </c>
      <c r="L658" s="4"/>
    </row>
    <row r="659" spans="1:12" hidden="1">
      <c r="A659" s="4"/>
      <c r="B659" s="26" t="s">
        <v>1567</v>
      </c>
      <c r="C659" s="10" t="s">
        <v>36</v>
      </c>
      <c r="D659" s="10" t="s">
        <v>43</v>
      </c>
      <c r="E659" s="4"/>
      <c r="F659" s="10" t="s">
        <v>44</v>
      </c>
      <c r="G659" s="10"/>
      <c r="H659" s="10"/>
      <c r="I659" s="20">
        <f t="shared" si="11"/>
        <v>0</v>
      </c>
      <c r="J659" s="10" t="s">
        <v>798</v>
      </c>
      <c r="K659" s="10">
        <v>1</v>
      </c>
      <c r="L659" s="4"/>
    </row>
    <row r="660" spans="1:12">
      <c r="A660" s="4"/>
      <c r="B660" s="42" t="s">
        <v>1568</v>
      </c>
      <c r="C660" s="26" t="s">
        <v>522</v>
      </c>
      <c r="D660" s="10" t="str">
        <f>VLOOKUP(B660,[11]LPN!$A:$C,3,FALSE)</f>
        <v>Solinet 15/40</v>
      </c>
      <c r="E660" s="4"/>
      <c r="F660" s="10" t="s">
        <v>1569</v>
      </c>
      <c r="G660" s="10"/>
      <c r="H660" s="10"/>
      <c r="I660" s="20">
        <f t="shared" si="11"/>
        <v>0</v>
      </c>
      <c r="J660" s="10" t="s">
        <v>640</v>
      </c>
      <c r="K660" s="10">
        <v>1</v>
      </c>
      <c r="L660" s="4"/>
    </row>
    <row r="661" spans="1:12">
      <c r="A661" s="4"/>
      <c r="B661" s="42" t="s">
        <v>1570</v>
      </c>
      <c r="C661" s="26" t="s">
        <v>522</v>
      </c>
      <c r="D661" s="10" t="str">
        <f>VLOOKUP(B661,[11]LPN!$A:$C,3,FALSE)</f>
        <v xml:space="preserve">Soleco 15/40 </v>
      </c>
      <c r="E661" s="4"/>
      <c r="F661" s="10" t="s">
        <v>1571</v>
      </c>
      <c r="G661" s="10"/>
      <c r="H661" s="10"/>
      <c r="I661" s="20">
        <f t="shared" si="11"/>
        <v>0</v>
      </c>
      <c r="J661" s="10" t="s">
        <v>640</v>
      </c>
      <c r="K661" s="10">
        <v>1</v>
      </c>
      <c r="L661" s="4"/>
    </row>
    <row r="662" spans="1:12" hidden="1">
      <c r="A662" s="4"/>
      <c r="B662" s="42" t="s">
        <v>1572</v>
      </c>
      <c r="C662" s="10" t="s">
        <v>122</v>
      </c>
      <c r="D662" s="10" t="s">
        <v>1165</v>
      </c>
      <c r="E662" s="4"/>
      <c r="F662" s="10" t="s">
        <v>1573</v>
      </c>
      <c r="G662" s="10"/>
      <c r="H662" s="10"/>
      <c r="I662" s="20">
        <f t="shared" si="11"/>
        <v>0</v>
      </c>
      <c r="J662" s="10" t="s">
        <v>593</v>
      </c>
      <c r="K662" s="10" t="s">
        <v>593</v>
      </c>
      <c r="L662" s="4"/>
    </row>
    <row r="663" spans="1:12" hidden="1">
      <c r="A663" s="4"/>
      <c r="B663" s="26" t="s">
        <v>1574</v>
      </c>
      <c r="C663" s="10" t="s">
        <v>158</v>
      </c>
      <c r="D663" s="10" t="s">
        <v>168</v>
      </c>
      <c r="E663" s="4"/>
      <c r="F663" s="10" t="s">
        <v>1575</v>
      </c>
      <c r="G663" s="10"/>
      <c r="H663" s="10"/>
      <c r="I663" s="20">
        <f t="shared" si="11"/>
        <v>0</v>
      </c>
      <c r="J663" s="10" t="s">
        <v>1576</v>
      </c>
      <c r="K663" s="10">
        <v>1</v>
      </c>
      <c r="L663" s="4"/>
    </row>
    <row r="664" spans="1:12" hidden="1">
      <c r="A664" s="4"/>
      <c r="B664" s="42" t="s">
        <v>583</v>
      </c>
      <c r="C664" s="10" t="s">
        <v>158</v>
      </c>
      <c r="D664" s="10" t="s">
        <v>1347</v>
      </c>
      <c r="E664" s="4"/>
      <c r="F664" s="10" t="s">
        <v>1577</v>
      </c>
      <c r="G664" s="10"/>
      <c r="H664" s="10"/>
      <c r="I664" s="20">
        <f t="shared" si="11"/>
        <v>0</v>
      </c>
      <c r="J664" s="10" t="s">
        <v>1349</v>
      </c>
      <c r="K664" s="10">
        <v>1</v>
      </c>
      <c r="L664" s="4"/>
    </row>
    <row r="665" spans="1:12" hidden="1">
      <c r="A665" s="4"/>
      <c r="B665" s="42" t="s">
        <v>583</v>
      </c>
      <c r="C665" s="10" t="s">
        <v>158</v>
      </c>
      <c r="D665" s="10" t="s">
        <v>1347</v>
      </c>
      <c r="E665" s="4"/>
      <c r="F665" s="26" t="s">
        <v>1578</v>
      </c>
      <c r="G665" s="10"/>
      <c r="H665" s="10"/>
      <c r="I665" s="20">
        <f t="shared" si="11"/>
        <v>0</v>
      </c>
      <c r="J665" s="10" t="s">
        <v>1349</v>
      </c>
      <c r="K665" s="10">
        <v>1</v>
      </c>
      <c r="L665" s="4"/>
    </row>
    <row r="666" spans="1:12" hidden="1">
      <c r="A666" s="4"/>
      <c r="B666" s="42" t="s">
        <v>583</v>
      </c>
      <c r="C666" s="10" t="s">
        <v>158</v>
      </c>
      <c r="D666" s="10" t="s">
        <v>1347</v>
      </c>
      <c r="E666" s="4"/>
      <c r="F666" s="10" t="s">
        <v>1579</v>
      </c>
      <c r="G666" s="10"/>
      <c r="H666" s="10"/>
      <c r="I666" s="20">
        <f t="shared" si="11"/>
        <v>0</v>
      </c>
      <c r="J666" s="10" t="s">
        <v>1349</v>
      </c>
      <c r="K666" s="10">
        <v>1</v>
      </c>
      <c r="L666" s="4"/>
    </row>
    <row r="667" spans="1:12" hidden="1">
      <c r="A667" s="4"/>
      <c r="B667" s="42" t="s">
        <v>583</v>
      </c>
      <c r="C667" s="10" t="s">
        <v>158</v>
      </c>
      <c r="D667" s="10" t="s">
        <v>1347</v>
      </c>
      <c r="E667" s="4"/>
      <c r="F667" s="10" t="s">
        <v>1580</v>
      </c>
      <c r="G667" s="10"/>
      <c r="H667" s="10"/>
      <c r="I667" s="20">
        <f t="shared" si="11"/>
        <v>0</v>
      </c>
      <c r="J667" s="10" t="s">
        <v>1349</v>
      </c>
      <c r="K667" s="10">
        <v>1</v>
      </c>
      <c r="L667" s="4"/>
    </row>
    <row r="668" spans="1:12" hidden="1">
      <c r="A668" s="4"/>
      <c r="B668" s="4" t="s">
        <v>583</v>
      </c>
      <c r="C668" s="10" t="s">
        <v>158</v>
      </c>
      <c r="D668" s="10" t="s">
        <v>1581</v>
      </c>
      <c r="E668" s="4"/>
      <c r="F668" s="10" t="s">
        <v>1582</v>
      </c>
      <c r="G668" s="10"/>
      <c r="H668" s="10"/>
      <c r="I668" s="20">
        <f t="shared" si="11"/>
        <v>0</v>
      </c>
      <c r="J668" s="10" t="s">
        <v>586</v>
      </c>
      <c r="K668" s="10">
        <v>1</v>
      </c>
      <c r="L668" s="4"/>
    </row>
    <row r="669" spans="1:12" hidden="1">
      <c r="A669" s="4"/>
      <c r="B669" s="4" t="s">
        <v>583</v>
      </c>
      <c r="C669" s="10" t="s">
        <v>158</v>
      </c>
      <c r="D669" s="10" t="s">
        <v>1581</v>
      </c>
      <c r="E669" s="4"/>
      <c r="F669" s="10" t="s">
        <v>1583</v>
      </c>
      <c r="G669" s="10"/>
      <c r="H669" s="10"/>
      <c r="I669" s="20">
        <f t="shared" si="11"/>
        <v>0</v>
      </c>
      <c r="J669" s="10" t="s">
        <v>586</v>
      </c>
      <c r="K669" s="10">
        <v>1</v>
      </c>
      <c r="L669" s="4"/>
    </row>
    <row r="670" spans="1:12" hidden="1">
      <c r="A670" s="4"/>
      <c r="B670" s="4" t="s">
        <v>583</v>
      </c>
      <c r="C670" s="10" t="s">
        <v>158</v>
      </c>
      <c r="D670" s="10" t="s">
        <v>1225</v>
      </c>
      <c r="E670" s="4"/>
      <c r="F670" s="10" t="s">
        <v>1584</v>
      </c>
      <c r="G670" s="10"/>
      <c r="H670" s="10"/>
      <c r="I670" s="20">
        <f t="shared" si="11"/>
        <v>0</v>
      </c>
      <c r="J670" s="10" t="s">
        <v>586</v>
      </c>
      <c r="K670" s="10">
        <v>1</v>
      </c>
      <c r="L670" s="4"/>
    </row>
    <row r="671" spans="1:12" hidden="1">
      <c r="A671" s="4"/>
      <c r="B671" s="4" t="s">
        <v>583</v>
      </c>
      <c r="C671" s="10" t="s">
        <v>158</v>
      </c>
      <c r="D671" s="10" t="s">
        <v>1225</v>
      </c>
      <c r="E671" s="4"/>
      <c r="F671" s="10" t="s">
        <v>1585</v>
      </c>
      <c r="G671" s="10"/>
      <c r="H671" s="10"/>
      <c r="I671" s="20">
        <f t="shared" si="11"/>
        <v>0</v>
      </c>
      <c r="J671" s="10" t="s">
        <v>586</v>
      </c>
      <c r="K671" s="10">
        <v>1</v>
      </c>
      <c r="L671" s="4"/>
    </row>
    <row r="672" spans="1:12" hidden="1">
      <c r="A672" s="4"/>
      <c r="B672" s="4" t="s">
        <v>583</v>
      </c>
      <c r="C672" s="10" t="s">
        <v>158</v>
      </c>
      <c r="D672" s="10" t="s">
        <v>1586</v>
      </c>
      <c r="E672" s="4"/>
      <c r="F672" s="10" t="s">
        <v>1587</v>
      </c>
      <c r="G672" s="10"/>
      <c r="H672" s="10"/>
      <c r="I672" s="20">
        <f t="shared" si="11"/>
        <v>0</v>
      </c>
      <c r="J672" s="10" t="s">
        <v>586</v>
      </c>
      <c r="K672" s="10">
        <v>1</v>
      </c>
      <c r="L672" s="4"/>
    </row>
    <row r="673" spans="1:12" hidden="1">
      <c r="A673" s="4"/>
      <c r="B673" s="4" t="s">
        <v>583</v>
      </c>
      <c r="C673" s="10" t="s">
        <v>158</v>
      </c>
      <c r="D673" s="10" t="s">
        <v>1586</v>
      </c>
      <c r="E673" s="4"/>
      <c r="F673" s="10" t="s">
        <v>1588</v>
      </c>
      <c r="G673" s="10"/>
      <c r="H673" s="10"/>
      <c r="I673" s="20">
        <f t="shared" si="11"/>
        <v>0</v>
      </c>
      <c r="J673" s="10" t="s">
        <v>586</v>
      </c>
      <c r="K673" s="10">
        <v>1</v>
      </c>
      <c r="L673" s="4"/>
    </row>
    <row r="674" spans="1:12" hidden="1">
      <c r="A674" s="4"/>
      <c r="B674" s="26" t="s">
        <v>1589</v>
      </c>
      <c r="C674" s="26" t="s">
        <v>46</v>
      </c>
      <c r="D674" s="10" t="s">
        <v>62</v>
      </c>
      <c r="E674" s="4"/>
      <c r="F674" s="10" t="s">
        <v>1590</v>
      </c>
      <c r="G674" s="10"/>
      <c r="H674" s="10"/>
      <c r="I674" s="20">
        <f t="shared" si="11"/>
        <v>0</v>
      </c>
      <c r="J674" s="10" t="s">
        <v>640</v>
      </c>
      <c r="K674" s="10">
        <v>1</v>
      </c>
      <c r="L674" s="4"/>
    </row>
    <row r="675" spans="1:12" hidden="1">
      <c r="A675" s="4"/>
      <c r="B675" s="42" t="s">
        <v>583</v>
      </c>
      <c r="C675" s="26" t="s">
        <v>46</v>
      </c>
      <c r="D675" s="10" t="s">
        <v>62</v>
      </c>
      <c r="E675" s="4"/>
      <c r="F675" s="10" t="s">
        <v>1591</v>
      </c>
      <c r="G675" s="10"/>
      <c r="H675" s="10"/>
      <c r="I675" s="20">
        <f t="shared" si="11"/>
        <v>0</v>
      </c>
      <c r="J675" s="10" t="s">
        <v>586</v>
      </c>
      <c r="K675" s="10">
        <v>1</v>
      </c>
      <c r="L675" s="4"/>
    </row>
    <row r="676" spans="1:12" hidden="1">
      <c r="A676" s="4"/>
      <c r="B676" s="42" t="s">
        <v>583</v>
      </c>
      <c r="C676" s="26" t="s">
        <v>46</v>
      </c>
      <c r="D676" s="10" t="s">
        <v>47</v>
      </c>
      <c r="E676" s="4"/>
      <c r="F676" s="10" t="s">
        <v>1592</v>
      </c>
      <c r="G676" s="10"/>
      <c r="H676" s="10"/>
      <c r="I676" s="20">
        <f t="shared" si="11"/>
        <v>0</v>
      </c>
      <c r="J676" s="10" t="s">
        <v>586</v>
      </c>
      <c r="K676" s="10">
        <v>1</v>
      </c>
      <c r="L676" s="4"/>
    </row>
    <row r="677" spans="1:12" hidden="1">
      <c r="A677" s="4"/>
      <c r="B677" s="42" t="s">
        <v>583</v>
      </c>
      <c r="C677" s="26" t="s">
        <v>46</v>
      </c>
      <c r="D677" s="10" t="s">
        <v>62</v>
      </c>
      <c r="E677" s="4"/>
      <c r="F677" s="10" t="s">
        <v>1593</v>
      </c>
      <c r="G677" s="10"/>
      <c r="H677" s="10"/>
      <c r="I677" s="20">
        <f t="shared" si="11"/>
        <v>0</v>
      </c>
      <c r="J677" s="10" t="s">
        <v>586</v>
      </c>
      <c r="K677" s="10">
        <v>1</v>
      </c>
      <c r="L677" s="4"/>
    </row>
    <row r="678" spans="1:12" hidden="1">
      <c r="A678" s="4"/>
      <c r="B678" s="42" t="s">
        <v>583</v>
      </c>
      <c r="C678" s="26" t="s">
        <v>46</v>
      </c>
      <c r="D678" s="10" t="s">
        <v>62</v>
      </c>
      <c r="E678" s="4"/>
      <c r="F678" s="10" t="s">
        <v>1594</v>
      </c>
      <c r="G678" s="10"/>
      <c r="H678" s="10"/>
      <c r="I678" s="20">
        <f t="shared" si="11"/>
        <v>0</v>
      </c>
      <c r="J678" s="10" t="s">
        <v>586</v>
      </c>
      <c r="K678" s="10">
        <v>1</v>
      </c>
      <c r="L678" s="4"/>
    </row>
    <row r="679" spans="1:12" hidden="1">
      <c r="A679" s="4"/>
      <c r="B679" s="42" t="s">
        <v>583</v>
      </c>
      <c r="C679" s="26" t="s">
        <v>46</v>
      </c>
      <c r="D679" s="10" t="s">
        <v>62</v>
      </c>
      <c r="E679" s="4"/>
      <c r="F679" s="10" t="s">
        <v>1595</v>
      </c>
      <c r="G679" s="10"/>
      <c r="H679" s="10"/>
      <c r="I679" s="20">
        <f t="shared" si="11"/>
        <v>0</v>
      </c>
      <c r="J679" s="10" t="s">
        <v>586</v>
      </c>
      <c r="K679" s="10">
        <v>1</v>
      </c>
      <c r="L679" s="4"/>
    </row>
    <row r="680" spans="1:12" hidden="1">
      <c r="A680" s="4"/>
      <c r="B680" s="42" t="s">
        <v>583</v>
      </c>
      <c r="C680" s="26" t="s">
        <v>46</v>
      </c>
      <c r="D680" s="10" t="s">
        <v>62</v>
      </c>
      <c r="E680" s="4"/>
      <c r="F680" s="10" t="s">
        <v>1596</v>
      </c>
      <c r="G680" s="10"/>
      <c r="H680" s="10"/>
      <c r="I680" s="20">
        <f t="shared" si="11"/>
        <v>0</v>
      </c>
      <c r="J680" s="10" t="s">
        <v>586</v>
      </c>
      <c r="K680" s="10">
        <v>1</v>
      </c>
      <c r="L680" s="4"/>
    </row>
    <row r="681" spans="1:12" hidden="1">
      <c r="A681" s="4"/>
      <c r="B681" s="42" t="s">
        <v>583</v>
      </c>
      <c r="C681" s="26" t="s">
        <v>46</v>
      </c>
      <c r="D681" s="10" t="s">
        <v>621</v>
      </c>
      <c r="E681" s="4"/>
      <c r="F681" s="10" t="s">
        <v>1597</v>
      </c>
      <c r="G681" s="10"/>
      <c r="H681" s="10"/>
      <c r="I681" s="20">
        <f t="shared" si="11"/>
        <v>0</v>
      </c>
      <c r="J681" s="10" t="s">
        <v>586</v>
      </c>
      <c r="K681" s="10">
        <v>1</v>
      </c>
      <c r="L681" s="4"/>
    </row>
    <row r="682" spans="1:12" hidden="1">
      <c r="A682" s="4"/>
      <c r="B682" s="42" t="s">
        <v>583</v>
      </c>
      <c r="C682" s="26" t="s">
        <v>46</v>
      </c>
      <c r="D682" s="10" t="s">
        <v>62</v>
      </c>
      <c r="E682" s="4"/>
      <c r="F682" s="10" t="s">
        <v>1598</v>
      </c>
      <c r="G682" s="10"/>
      <c r="H682" s="10"/>
      <c r="I682" s="20">
        <f t="shared" si="11"/>
        <v>0</v>
      </c>
      <c r="J682" s="10" t="s">
        <v>586</v>
      </c>
      <c r="K682" s="10">
        <v>1</v>
      </c>
      <c r="L682" s="4"/>
    </row>
    <row r="683" spans="1:12" hidden="1">
      <c r="A683" s="4"/>
      <c r="B683" s="42" t="s">
        <v>583</v>
      </c>
      <c r="C683" s="26" t="s">
        <v>46</v>
      </c>
      <c r="D683" s="10" t="s">
        <v>62</v>
      </c>
      <c r="E683" s="4"/>
      <c r="F683" s="10" t="s">
        <v>1599</v>
      </c>
      <c r="G683" s="10"/>
      <c r="H683" s="10"/>
      <c r="I683" s="20">
        <f t="shared" si="11"/>
        <v>0</v>
      </c>
      <c r="J683" s="10" t="s">
        <v>586</v>
      </c>
      <c r="K683" s="10">
        <v>1</v>
      </c>
      <c r="L683" s="4"/>
    </row>
    <row r="684" spans="1:12" hidden="1">
      <c r="A684" s="4"/>
      <c r="B684" s="42" t="s">
        <v>583</v>
      </c>
      <c r="C684" s="26" t="s">
        <v>46</v>
      </c>
      <c r="D684" s="10" t="s">
        <v>621</v>
      </c>
      <c r="E684" s="4"/>
      <c r="F684" s="10" t="s">
        <v>1600</v>
      </c>
      <c r="G684" s="10"/>
      <c r="H684" s="10"/>
      <c r="I684" s="20">
        <f t="shared" si="11"/>
        <v>0</v>
      </c>
      <c r="J684" s="10" t="s">
        <v>586</v>
      </c>
      <c r="K684" s="10">
        <v>1</v>
      </c>
      <c r="L684" s="4"/>
    </row>
    <row r="685" spans="1:12" hidden="1">
      <c r="A685" s="4"/>
      <c r="B685" s="42" t="s">
        <v>583</v>
      </c>
      <c r="C685" s="26" t="s">
        <v>46</v>
      </c>
      <c r="D685" s="10" t="s">
        <v>62</v>
      </c>
      <c r="E685" s="4"/>
      <c r="F685" s="10" t="s">
        <v>1601</v>
      </c>
      <c r="G685" s="10"/>
      <c r="H685" s="10"/>
      <c r="I685" s="20">
        <f t="shared" si="11"/>
        <v>0</v>
      </c>
      <c r="J685" s="10" t="s">
        <v>586</v>
      </c>
      <c r="K685" s="10">
        <v>1</v>
      </c>
      <c r="L685" s="4"/>
    </row>
    <row r="686" spans="1:12" hidden="1">
      <c r="A686" s="4"/>
      <c r="B686" s="42" t="s">
        <v>583</v>
      </c>
      <c r="C686" s="26" t="s">
        <v>46</v>
      </c>
      <c r="D686" s="10" t="s">
        <v>47</v>
      </c>
      <c r="E686" s="4"/>
      <c r="F686" s="10" t="s">
        <v>58</v>
      </c>
      <c r="G686" s="10"/>
      <c r="H686" s="10"/>
      <c r="I686" s="20">
        <f t="shared" si="11"/>
        <v>0</v>
      </c>
      <c r="J686" s="10" t="s">
        <v>586</v>
      </c>
      <c r="K686" s="10">
        <v>1</v>
      </c>
      <c r="L686" s="4"/>
    </row>
    <row r="687" spans="1:12" hidden="1">
      <c r="A687" s="4"/>
      <c r="B687" s="42" t="s">
        <v>583</v>
      </c>
      <c r="C687" s="26" t="s">
        <v>46</v>
      </c>
      <c r="D687" s="10" t="s">
        <v>62</v>
      </c>
      <c r="E687" s="4"/>
      <c r="F687" s="10" t="s">
        <v>1602</v>
      </c>
      <c r="G687" s="10"/>
      <c r="H687" s="10"/>
      <c r="I687" s="20">
        <f t="shared" si="11"/>
        <v>0</v>
      </c>
      <c r="J687" s="10" t="s">
        <v>586</v>
      </c>
      <c r="K687" s="10">
        <v>1</v>
      </c>
      <c r="L687" s="4"/>
    </row>
    <row r="688" spans="1:12" hidden="1">
      <c r="A688" s="4"/>
      <c r="B688" s="42" t="s">
        <v>583</v>
      </c>
      <c r="C688" s="26" t="s">
        <v>46</v>
      </c>
      <c r="D688" s="10" t="s">
        <v>62</v>
      </c>
      <c r="E688" s="4"/>
      <c r="F688" s="10" t="s">
        <v>1603</v>
      </c>
      <c r="G688" s="10"/>
      <c r="H688" s="10"/>
      <c r="I688" s="20">
        <f t="shared" si="11"/>
        <v>0</v>
      </c>
      <c r="J688" s="10" t="s">
        <v>586</v>
      </c>
      <c r="K688" s="10">
        <v>1</v>
      </c>
      <c r="L688" s="4"/>
    </row>
    <row r="689" spans="1:12" hidden="1">
      <c r="A689" s="4"/>
      <c r="B689" s="42" t="s">
        <v>583</v>
      </c>
      <c r="C689" s="26" t="s">
        <v>46</v>
      </c>
      <c r="D689" s="10" t="s">
        <v>621</v>
      </c>
      <c r="E689" s="4"/>
      <c r="F689" s="10" t="s">
        <v>1604</v>
      </c>
      <c r="G689" s="10"/>
      <c r="H689" s="10"/>
      <c r="I689" s="20">
        <f t="shared" si="11"/>
        <v>0</v>
      </c>
      <c r="J689" s="10" t="s">
        <v>586</v>
      </c>
      <c r="K689" s="10">
        <v>1</v>
      </c>
      <c r="L689" s="4"/>
    </row>
    <row r="690" spans="1:12" hidden="1">
      <c r="A690" s="4"/>
      <c r="B690" s="26" t="s">
        <v>1605</v>
      </c>
      <c r="C690" s="26" t="s">
        <v>46</v>
      </c>
      <c r="D690" s="10" t="s">
        <v>47</v>
      </c>
      <c r="E690" s="4"/>
      <c r="F690" s="26" t="s">
        <v>49</v>
      </c>
      <c r="G690" s="10"/>
      <c r="H690" s="10"/>
      <c r="I690" s="20">
        <f t="shared" si="11"/>
        <v>0</v>
      </c>
      <c r="J690" s="10" t="s">
        <v>798</v>
      </c>
      <c r="K690" s="10">
        <v>1</v>
      </c>
      <c r="L690" s="4"/>
    </row>
    <row r="691" spans="1:12" hidden="1">
      <c r="A691" s="4"/>
      <c r="B691" s="26" t="s">
        <v>1606</v>
      </c>
      <c r="C691" s="26" t="s">
        <v>46</v>
      </c>
      <c r="D691" s="10" t="s">
        <v>47</v>
      </c>
      <c r="E691" s="4"/>
      <c r="F691" s="26" t="s">
        <v>53</v>
      </c>
      <c r="G691" s="10"/>
      <c r="H691" s="10"/>
      <c r="I691" s="20">
        <f t="shared" si="11"/>
        <v>0</v>
      </c>
      <c r="J691" s="10" t="s">
        <v>798</v>
      </c>
      <c r="K691" s="10">
        <v>1</v>
      </c>
      <c r="L691" s="4"/>
    </row>
    <row r="692" spans="1:12" hidden="1">
      <c r="A692" s="4"/>
      <c r="B692" s="42" t="s">
        <v>583</v>
      </c>
      <c r="C692" s="10" t="s">
        <v>86</v>
      </c>
      <c r="D692" s="10" t="s">
        <v>215</v>
      </c>
      <c r="E692" s="4"/>
      <c r="F692" s="10" t="s">
        <v>1607</v>
      </c>
      <c r="G692" s="10"/>
      <c r="H692" s="10"/>
      <c r="I692" s="20">
        <f t="shared" si="11"/>
        <v>0</v>
      </c>
      <c r="J692" s="10" t="s">
        <v>640</v>
      </c>
      <c r="K692" s="10">
        <v>1</v>
      </c>
      <c r="L692" s="4"/>
    </row>
    <row r="693" spans="1:12" hidden="1">
      <c r="A693" s="4"/>
      <c r="B693" s="42" t="s">
        <v>583</v>
      </c>
      <c r="C693" s="10" t="s">
        <v>220</v>
      </c>
      <c r="D693" s="10" t="s">
        <v>584</v>
      </c>
      <c r="E693" s="4"/>
      <c r="F693" s="10" t="s">
        <v>1608</v>
      </c>
      <c r="G693" s="10"/>
      <c r="H693" s="10"/>
      <c r="I693" s="20">
        <f t="shared" si="11"/>
        <v>0</v>
      </c>
      <c r="J693" s="10" t="s">
        <v>1609</v>
      </c>
      <c r="K693" s="10">
        <v>1</v>
      </c>
      <c r="L693" s="4"/>
    </row>
    <row r="694" spans="1:12" hidden="1">
      <c r="A694" s="4"/>
      <c r="B694" s="42" t="s">
        <v>583</v>
      </c>
      <c r="C694" s="10" t="s">
        <v>86</v>
      </c>
      <c r="D694" s="10" t="s">
        <v>206</v>
      </c>
      <c r="E694" s="4"/>
      <c r="F694" s="10" t="s">
        <v>211</v>
      </c>
      <c r="G694" s="10"/>
      <c r="H694" s="10"/>
      <c r="I694" s="20">
        <f t="shared" si="11"/>
        <v>0</v>
      </c>
      <c r="J694" s="10" t="s">
        <v>640</v>
      </c>
      <c r="K694" s="10">
        <v>1</v>
      </c>
      <c r="L694" s="4"/>
    </row>
    <row r="695" spans="1:12" hidden="1">
      <c r="A695" s="4"/>
      <c r="B695" s="42" t="s">
        <v>583</v>
      </c>
      <c r="C695" s="10" t="s">
        <v>86</v>
      </c>
      <c r="D695" s="10" t="s">
        <v>1610</v>
      </c>
      <c r="E695" s="4"/>
      <c r="F695" s="10" t="s">
        <v>1611</v>
      </c>
      <c r="G695" s="10"/>
      <c r="H695" s="10"/>
      <c r="I695" s="20">
        <f t="shared" si="11"/>
        <v>0</v>
      </c>
      <c r="J695" s="10" t="s">
        <v>640</v>
      </c>
      <c r="K695" s="10">
        <v>1</v>
      </c>
      <c r="L695" s="4"/>
    </row>
    <row r="696" spans="1:12" hidden="1">
      <c r="A696" s="4"/>
      <c r="B696" s="42" t="s">
        <v>583</v>
      </c>
      <c r="C696" s="10" t="s">
        <v>220</v>
      </c>
      <c r="D696" s="10" t="s">
        <v>584</v>
      </c>
      <c r="E696" s="4"/>
      <c r="F696" s="10" t="s">
        <v>1612</v>
      </c>
      <c r="G696" s="10"/>
      <c r="H696" s="10"/>
      <c r="I696" s="20">
        <f t="shared" si="11"/>
        <v>0</v>
      </c>
      <c r="J696" s="10" t="s">
        <v>593</v>
      </c>
      <c r="K696" s="10" t="s">
        <v>593</v>
      </c>
      <c r="L696" s="4"/>
    </row>
    <row r="697" spans="1:12" hidden="1">
      <c r="A697" s="4"/>
      <c r="B697" s="42" t="s">
        <v>583</v>
      </c>
      <c r="C697" s="10" t="s">
        <v>220</v>
      </c>
      <c r="D697" s="10" t="s">
        <v>584</v>
      </c>
      <c r="E697" s="4"/>
      <c r="F697" s="10" t="s">
        <v>1613</v>
      </c>
      <c r="G697" s="10"/>
      <c r="H697" s="10"/>
      <c r="I697" s="20">
        <f t="shared" si="11"/>
        <v>0</v>
      </c>
      <c r="J697" s="10" t="s">
        <v>593</v>
      </c>
      <c r="K697" s="10" t="s">
        <v>593</v>
      </c>
      <c r="L697" s="4"/>
    </row>
    <row r="698" spans="1:12" hidden="1">
      <c r="A698" s="4"/>
      <c r="B698" s="42" t="s">
        <v>583</v>
      </c>
      <c r="C698" s="10" t="s">
        <v>86</v>
      </c>
      <c r="D698" s="10" t="s">
        <v>215</v>
      </c>
      <c r="E698" s="4"/>
      <c r="F698" s="10" t="s">
        <v>216</v>
      </c>
      <c r="G698" s="10"/>
      <c r="H698" s="10"/>
      <c r="I698" s="20">
        <f t="shared" si="11"/>
        <v>0</v>
      </c>
      <c r="J698" s="10" t="s">
        <v>640</v>
      </c>
      <c r="K698" s="10">
        <v>1</v>
      </c>
      <c r="L698" s="4"/>
    </row>
    <row r="699" spans="1:12" hidden="1">
      <c r="A699" s="4"/>
      <c r="B699" s="42" t="s">
        <v>583</v>
      </c>
      <c r="C699" s="10" t="s">
        <v>86</v>
      </c>
      <c r="D699" s="10" t="s">
        <v>1614</v>
      </c>
      <c r="E699" s="4"/>
      <c r="F699" s="10" t="s">
        <v>1615</v>
      </c>
      <c r="G699" s="10"/>
      <c r="H699" s="10"/>
      <c r="I699" s="20">
        <f t="shared" si="11"/>
        <v>0</v>
      </c>
      <c r="J699" s="10" t="s">
        <v>640</v>
      </c>
      <c r="K699" s="10">
        <v>1</v>
      </c>
      <c r="L699" s="4"/>
    </row>
    <row r="700" spans="1:12" hidden="1">
      <c r="A700" s="4"/>
      <c r="B700" s="42" t="s">
        <v>583</v>
      </c>
      <c r="C700" s="10" t="s">
        <v>220</v>
      </c>
      <c r="D700" s="10" t="s">
        <v>621</v>
      </c>
      <c r="E700" s="4"/>
      <c r="F700" s="10" t="s">
        <v>1616</v>
      </c>
      <c r="G700" s="10"/>
      <c r="H700" s="10"/>
      <c r="I700" s="20">
        <f t="shared" si="11"/>
        <v>0</v>
      </c>
      <c r="J700" s="10" t="s">
        <v>640</v>
      </c>
      <c r="K700" s="10">
        <v>1</v>
      </c>
      <c r="L700" s="4"/>
    </row>
    <row r="701" spans="1:12" hidden="1">
      <c r="A701" s="4"/>
      <c r="B701" s="42" t="s">
        <v>583</v>
      </c>
      <c r="C701" s="10" t="s">
        <v>86</v>
      </c>
      <c r="D701" s="10" t="s">
        <v>1617</v>
      </c>
      <c r="E701" s="4"/>
      <c r="F701" s="10" t="s">
        <v>1618</v>
      </c>
      <c r="G701" s="10"/>
      <c r="H701" s="10"/>
      <c r="I701" s="20">
        <f t="shared" si="11"/>
        <v>0</v>
      </c>
      <c r="J701" s="10" t="s">
        <v>640</v>
      </c>
      <c r="K701" s="10">
        <v>1</v>
      </c>
      <c r="L701" s="4"/>
    </row>
    <row r="702" spans="1:12" hidden="1">
      <c r="A702" s="4"/>
      <c r="B702" s="42" t="s">
        <v>583</v>
      </c>
      <c r="C702" s="10" t="s">
        <v>86</v>
      </c>
      <c r="D702" s="10" t="s">
        <v>206</v>
      </c>
      <c r="E702" s="4"/>
      <c r="F702" s="10" t="s">
        <v>1619</v>
      </c>
      <c r="G702" s="10"/>
      <c r="H702" s="10"/>
      <c r="I702" s="20">
        <f t="shared" si="11"/>
        <v>0</v>
      </c>
      <c r="J702" s="10" t="s">
        <v>640</v>
      </c>
      <c r="K702" s="10">
        <v>1</v>
      </c>
      <c r="L702" s="4"/>
    </row>
    <row r="703" spans="1:12" hidden="1">
      <c r="A703" s="4"/>
      <c r="B703" s="42" t="s">
        <v>583</v>
      </c>
      <c r="C703" s="10" t="s">
        <v>86</v>
      </c>
      <c r="D703" s="10" t="s">
        <v>87</v>
      </c>
      <c r="E703" s="4"/>
      <c r="F703" s="10" t="s">
        <v>1620</v>
      </c>
      <c r="G703" s="10"/>
      <c r="H703" s="10"/>
      <c r="I703" s="20">
        <f t="shared" si="11"/>
        <v>0</v>
      </c>
      <c r="J703" s="10" t="s">
        <v>640</v>
      </c>
      <c r="K703" s="10">
        <v>1</v>
      </c>
      <c r="L703" s="4"/>
    </row>
    <row r="704" spans="1:12" hidden="1">
      <c r="A704" s="4"/>
      <c r="B704" s="4" t="s">
        <v>1621</v>
      </c>
      <c r="C704" s="10" t="s">
        <v>86</v>
      </c>
      <c r="D704" s="10" t="s">
        <v>206</v>
      </c>
      <c r="E704" s="4"/>
      <c r="F704" s="10" t="str">
        <f>VLOOKUP(B704,[11]LPN!$A:$D,4,FALSE)</f>
        <v>Décapant 841 Zinc Usagé 0,34 L</v>
      </c>
      <c r="G704" s="10"/>
      <c r="H704" s="10"/>
      <c r="I704" s="20">
        <f t="shared" si="11"/>
        <v>0</v>
      </c>
      <c r="J704" s="10" t="s">
        <v>798</v>
      </c>
      <c r="K704" s="10">
        <v>1</v>
      </c>
      <c r="L704" s="4"/>
    </row>
    <row r="705" spans="1:12" hidden="1">
      <c r="A705" s="4"/>
      <c r="B705" s="42" t="s">
        <v>583</v>
      </c>
      <c r="C705" s="10" t="s">
        <v>1622</v>
      </c>
      <c r="D705" s="10" t="s">
        <v>1623</v>
      </c>
      <c r="E705" s="4"/>
      <c r="F705" s="10" t="s">
        <v>1624</v>
      </c>
      <c r="G705" s="10"/>
      <c r="H705" s="10"/>
      <c r="I705" s="20">
        <f t="shared" si="11"/>
        <v>0</v>
      </c>
      <c r="J705" s="10" t="s">
        <v>178</v>
      </c>
      <c r="K705" s="10">
        <v>1</v>
      </c>
      <c r="L705" s="4"/>
    </row>
    <row r="706" spans="1:12" hidden="1">
      <c r="A706" s="4"/>
      <c r="B706" s="42" t="s">
        <v>583</v>
      </c>
      <c r="C706" s="10" t="s">
        <v>1622</v>
      </c>
      <c r="D706" s="10" t="s">
        <v>1623</v>
      </c>
      <c r="E706" s="4"/>
      <c r="F706" s="10" t="s">
        <v>1625</v>
      </c>
      <c r="G706" s="10"/>
      <c r="H706" s="10"/>
      <c r="I706" s="20">
        <f t="shared" si="11"/>
        <v>0</v>
      </c>
      <c r="J706" s="10" t="s">
        <v>178</v>
      </c>
      <c r="K706" s="10">
        <v>1</v>
      </c>
      <c r="L706" s="4"/>
    </row>
    <row r="707" spans="1:12" hidden="1">
      <c r="A707" s="4"/>
      <c r="B707" s="42" t="s">
        <v>583</v>
      </c>
      <c r="C707" s="10" t="s">
        <v>1622</v>
      </c>
      <c r="D707" s="10" t="s">
        <v>1623</v>
      </c>
      <c r="E707" s="4"/>
      <c r="F707" s="10" t="s">
        <v>1626</v>
      </c>
      <c r="G707" s="10"/>
      <c r="H707" s="10"/>
      <c r="I707" s="20">
        <f t="shared" si="11"/>
        <v>0</v>
      </c>
      <c r="J707" s="10" t="s">
        <v>178</v>
      </c>
      <c r="K707" s="10">
        <v>1</v>
      </c>
      <c r="L707" s="4"/>
    </row>
    <row r="708" spans="1:12" hidden="1">
      <c r="A708" s="4"/>
      <c r="B708" s="42" t="s">
        <v>583</v>
      </c>
      <c r="C708" s="10" t="s">
        <v>1622</v>
      </c>
      <c r="D708" s="10" t="s">
        <v>1623</v>
      </c>
      <c r="E708" s="4"/>
      <c r="F708" s="10" t="s">
        <v>1627</v>
      </c>
      <c r="G708" s="10"/>
      <c r="H708" s="10"/>
      <c r="I708" s="20">
        <f t="shared" si="11"/>
        <v>0</v>
      </c>
      <c r="J708" s="10" t="s">
        <v>178</v>
      </c>
      <c r="K708" s="10">
        <v>1</v>
      </c>
      <c r="L708" s="4"/>
    </row>
    <row r="709" spans="1:12" hidden="1">
      <c r="A709" s="4"/>
      <c r="B709" s="42" t="s">
        <v>583</v>
      </c>
      <c r="C709" s="10" t="s">
        <v>1622</v>
      </c>
      <c r="D709" s="10" t="s">
        <v>1623</v>
      </c>
      <c r="E709" s="4"/>
      <c r="F709" s="10" t="s">
        <v>1628</v>
      </c>
      <c r="G709" s="10"/>
      <c r="H709" s="10"/>
      <c r="I709" s="20">
        <f t="shared" si="11"/>
        <v>0</v>
      </c>
      <c r="J709" s="10" t="s">
        <v>178</v>
      </c>
      <c r="K709" s="10">
        <v>1</v>
      </c>
      <c r="L709" s="4"/>
    </row>
    <row r="710" spans="1:12" hidden="1">
      <c r="A710" s="4"/>
      <c r="B710" s="42" t="s">
        <v>583</v>
      </c>
      <c r="C710" s="10" t="s">
        <v>1622</v>
      </c>
      <c r="D710" s="10" t="s">
        <v>1623</v>
      </c>
      <c r="E710" s="4"/>
      <c r="F710" s="10" t="s">
        <v>1629</v>
      </c>
      <c r="G710" s="10"/>
      <c r="H710" s="10"/>
      <c r="I710" s="20">
        <f t="shared" si="11"/>
        <v>0</v>
      </c>
      <c r="J710" s="10" t="s">
        <v>178</v>
      </c>
      <c r="K710" s="10">
        <v>1</v>
      </c>
      <c r="L710" s="4"/>
    </row>
    <row r="711" spans="1:12" hidden="1">
      <c r="A711" s="4"/>
      <c r="B711" s="42" t="s">
        <v>583</v>
      </c>
      <c r="C711" s="10" t="s">
        <v>1622</v>
      </c>
      <c r="D711" s="10" t="s">
        <v>1623</v>
      </c>
      <c r="E711" s="4"/>
      <c r="F711" s="10" t="s">
        <v>1630</v>
      </c>
      <c r="G711" s="10"/>
      <c r="H711" s="10"/>
      <c r="I711" s="20"/>
      <c r="J711" s="10" t="s">
        <v>178</v>
      </c>
      <c r="K711" s="10">
        <v>1</v>
      </c>
      <c r="L711" s="4"/>
    </row>
    <row r="712" spans="1:12" hidden="1">
      <c r="A712" s="4"/>
      <c r="B712" s="42" t="s">
        <v>583</v>
      </c>
      <c r="C712" s="10" t="s">
        <v>1622</v>
      </c>
      <c r="D712" s="10" t="s">
        <v>1623</v>
      </c>
      <c r="E712" s="4"/>
      <c r="F712" s="10" t="s">
        <v>1631</v>
      </c>
      <c r="G712" s="10"/>
      <c r="H712" s="10"/>
      <c r="I712" s="20">
        <f t="shared" ref="I712:I727" si="12">G712+H712</f>
        <v>0</v>
      </c>
      <c r="J712" s="10" t="s">
        <v>178</v>
      </c>
      <c r="K712" s="10">
        <v>1</v>
      </c>
      <c r="L712" s="4"/>
    </row>
    <row r="713" spans="1:12" hidden="1">
      <c r="A713" s="4"/>
      <c r="B713" s="42" t="s">
        <v>583</v>
      </c>
      <c r="C713" s="10" t="s">
        <v>1622</v>
      </c>
      <c r="D713" s="10" t="s">
        <v>1623</v>
      </c>
      <c r="E713" s="4"/>
      <c r="F713" s="43" t="s">
        <v>1632</v>
      </c>
      <c r="G713" s="10"/>
      <c r="H713" s="10"/>
      <c r="I713" s="20">
        <f t="shared" si="12"/>
        <v>0</v>
      </c>
      <c r="J713" s="10" t="s">
        <v>178</v>
      </c>
      <c r="K713" s="10">
        <v>1</v>
      </c>
      <c r="L713" s="4"/>
    </row>
    <row r="714" spans="1:12" hidden="1">
      <c r="A714" s="4"/>
      <c r="B714" s="42" t="s">
        <v>583</v>
      </c>
      <c r="C714" s="10" t="s">
        <v>1622</v>
      </c>
      <c r="D714" s="10" t="s">
        <v>1623</v>
      </c>
      <c r="E714" s="4"/>
      <c r="F714" s="10" t="s">
        <v>1633</v>
      </c>
      <c r="G714" s="10"/>
      <c r="H714" s="10"/>
      <c r="I714" s="20">
        <f t="shared" si="12"/>
        <v>0</v>
      </c>
      <c r="J714" s="10" t="s">
        <v>178</v>
      </c>
      <c r="K714" s="10">
        <v>1</v>
      </c>
      <c r="L714" s="4"/>
    </row>
    <row r="715" spans="1:12" hidden="1">
      <c r="A715" s="4"/>
      <c r="B715" s="42" t="s">
        <v>583</v>
      </c>
      <c r="C715" s="10" t="s">
        <v>1622</v>
      </c>
      <c r="D715" s="10" t="s">
        <v>1634</v>
      </c>
      <c r="E715" s="4"/>
      <c r="F715" s="10" t="s">
        <v>1635</v>
      </c>
      <c r="G715" s="10"/>
      <c r="H715" s="10"/>
      <c r="I715" s="20">
        <f t="shared" si="12"/>
        <v>0</v>
      </c>
      <c r="J715" s="10" t="s">
        <v>178</v>
      </c>
      <c r="K715" s="10">
        <v>1</v>
      </c>
      <c r="L715" s="4"/>
    </row>
    <row r="716" spans="1:12" hidden="1">
      <c r="A716" s="4"/>
      <c r="B716" s="42" t="s">
        <v>583</v>
      </c>
      <c r="C716" s="10" t="s">
        <v>1622</v>
      </c>
      <c r="D716" s="10" t="s">
        <v>1623</v>
      </c>
      <c r="E716" s="4"/>
      <c r="F716" s="10" t="s">
        <v>1636</v>
      </c>
      <c r="G716" s="10"/>
      <c r="H716" s="10"/>
      <c r="I716" s="20">
        <f t="shared" si="12"/>
        <v>0</v>
      </c>
      <c r="J716" s="10" t="s">
        <v>178</v>
      </c>
      <c r="K716" s="10">
        <v>1</v>
      </c>
      <c r="L716" s="4"/>
    </row>
    <row r="717" spans="1:12" hidden="1">
      <c r="A717" s="4"/>
      <c r="B717" s="42" t="s">
        <v>583</v>
      </c>
      <c r="C717" s="10" t="s">
        <v>1622</v>
      </c>
      <c r="D717" s="10" t="s">
        <v>1634</v>
      </c>
      <c r="E717" s="4"/>
      <c r="F717" s="26" t="s">
        <v>1637</v>
      </c>
      <c r="G717" s="10"/>
      <c r="H717" s="10"/>
      <c r="I717" s="20">
        <f t="shared" si="12"/>
        <v>0</v>
      </c>
      <c r="J717" s="10" t="s">
        <v>178</v>
      </c>
      <c r="K717" s="10">
        <v>1</v>
      </c>
      <c r="L717" s="4"/>
    </row>
    <row r="718" spans="1:12" hidden="1">
      <c r="A718" s="4"/>
      <c r="B718" s="42" t="s">
        <v>583</v>
      </c>
      <c r="C718" s="10" t="s">
        <v>1622</v>
      </c>
      <c r="D718" s="10" t="s">
        <v>1623</v>
      </c>
      <c r="E718" s="4"/>
      <c r="F718" s="10" t="s">
        <v>1638</v>
      </c>
      <c r="G718" s="10"/>
      <c r="H718" s="10"/>
      <c r="I718" s="20">
        <f t="shared" si="12"/>
        <v>0</v>
      </c>
      <c r="J718" s="10" t="s">
        <v>178</v>
      </c>
      <c r="K718" s="10">
        <v>1</v>
      </c>
      <c r="L718" s="4"/>
    </row>
    <row r="719" spans="1:12" hidden="1">
      <c r="A719" s="4"/>
      <c r="B719" s="42" t="s">
        <v>583</v>
      </c>
      <c r="C719" s="10" t="s">
        <v>1622</v>
      </c>
      <c r="D719" s="10" t="s">
        <v>1623</v>
      </c>
      <c r="E719" s="4"/>
      <c r="F719" s="10" t="s">
        <v>1639</v>
      </c>
      <c r="G719" s="10"/>
      <c r="H719" s="10"/>
      <c r="I719" s="20">
        <f t="shared" si="12"/>
        <v>0</v>
      </c>
      <c r="J719" s="10" t="s">
        <v>178</v>
      </c>
      <c r="K719" s="10">
        <v>1</v>
      </c>
      <c r="L719" s="4"/>
    </row>
    <row r="720" spans="1:12" hidden="1">
      <c r="A720" s="4"/>
      <c r="B720" s="42" t="s">
        <v>583</v>
      </c>
      <c r="C720" s="10" t="s">
        <v>1622</v>
      </c>
      <c r="D720" s="10" t="s">
        <v>1623</v>
      </c>
      <c r="E720" s="4"/>
      <c r="F720" s="10" t="s">
        <v>1640</v>
      </c>
      <c r="G720" s="10"/>
      <c r="H720" s="10"/>
      <c r="I720" s="20">
        <f t="shared" si="12"/>
        <v>0</v>
      </c>
      <c r="J720" s="10" t="s">
        <v>178</v>
      </c>
      <c r="K720" s="10">
        <v>1</v>
      </c>
      <c r="L720" s="4"/>
    </row>
    <row r="721" spans="1:12" hidden="1">
      <c r="A721" s="4"/>
      <c r="B721" s="42" t="s">
        <v>583</v>
      </c>
      <c r="C721" s="10" t="s">
        <v>1641</v>
      </c>
      <c r="D721" s="10" t="s">
        <v>1642</v>
      </c>
      <c r="E721" s="4"/>
      <c r="F721" s="10" t="s">
        <v>1643</v>
      </c>
      <c r="G721" s="10"/>
      <c r="H721" s="10"/>
      <c r="I721" s="20">
        <f t="shared" si="12"/>
        <v>0</v>
      </c>
      <c r="J721" s="10" t="s">
        <v>1644</v>
      </c>
      <c r="K721" s="10">
        <v>1000</v>
      </c>
      <c r="L721" s="4"/>
    </row>
    <row r="722" spans="1:12" hidden="1">
      <c r="A722" s="4"/>
      <c r="B722" s="42" t="s">
        <v>583</v>
      </c>
      <c r="C722" s="10" t="s">
        <v>1641</v>
      </c>
      <c r="D722" s="10" t="s">
        <v>1645</v>
      </c>
      <c r="E722" s="4"/>
      <c r="F722" s="10" t="s">
        <v>1646</v>
      </c>
      <c r="G722" s="10"/>
      <c r="H722" s="10"/>
      <c r="I722" s="20">
        <f t="shared" si="12"/>
        <v>0</v>
      </c>
      <c r="J722" s="10" t="s">
        <v>586</v>
      </c>
      <c r="K722" s="10">
        <v>1</v>
      </c>
      <c r="L722" s="4"/>
    </row>
    <row r="723" spans="1:12" hidden="1">
      <c r="A723" s="4"/>
      <c r="B723" s="42" t="s">
        <v>583</v>
      </c>
      <c r="C723" s="10" t="s">
        <v>1641</v>
      </c>
      <c r="D723" s="10" t="s">
        <v>1642</v>
      </c>
      <c r="E723" s="4"/>
      <c r="F723" s="10" t="s">
        <v>1647</v>
      </c>
      <c r="G723" s="10"/>
      <c r="H723" s="10"/>
      <c r="I723" s="20">
        <f t="shared" si="12"/>
        <v>0</v>
      </c>
      <c r="J723" s="10" t="s">
        <v>1644</v>
      </c>
      <c r="K723" s="10">
        <v>1000</v>
      </c>
      <c r="L723" s="4"/>
    </row>
    <row r="724" spans="1:12" hidden="1">
      <c r="A724" s="4"/>
      <c r="B724" s="42" t="s">
        <v>583</v>
      </c>
      <c r="C724" s="10" t="s">
        <v>1641</v>
      </c>
      <c r="D724" s="10" t="s">
        <v>1642</v>
      </c>
      <c r="E724" s="4"/>
      <c r="F724" s="10" t="s">
        <v>1648</v>
      </c>
      <c r="G724" s="10"/>
      <c r="H724" s="10"/>
      <c r="I724" s="20">
        <f t="shared" si="12"/>
        <v>0</v>
      </c>
      <c r="J724" s="10" t="s">
        <v>1644</v>
      </c>
      <c r="K724" s="10">
        <v>1000</v>
      </c>
      <c r="L724" s="4"/>
    </row>
    <row r="725" spans="1:12" hidden="1">
      <c r="A725" s="4"/>
      <c r="B725" s="42" t="s">
        <v>583</v>
      </c>
      <c r="C725" s="10" t="s">
        <v>1641</v>
      </c>
      <c r="D725" s="10" t="s">
        <v>1642</v>
      </c>
      <c r="E725" s="4"/>
      <c r="F725" s="10" t="s">
        <v>1649</v>
      </c>
      <c r="G725" s="10"/>
      <c r="H725" s="10"/>
      <c r="I725" s="20">
        <f t="shared" si="12"/>
        <v>0</v>
      </c>
      <c r="J725" s="10" t="s">
        <v>1644</v>
      </c>
      <c r="K725" s="10">
        <v>1000</v>
      </c>
      <c r="L725" s="4"/>
    </row>
    <row r="726" spans="1:12" hidden="1">
      <c r="A726" s="4"/>
      <c r="B726" s="42" t="s">
        <v>583</v>
      </c>
      <c r="C726" s="10" t="s">
        <v>1641</v>
      </c>
      <c r="D726" s="10" t="s">
        <v>1642</v>
      </c>
      <c r="E726" s="4"/>
      <c r="F726" s="10" t="s">
        <v>1650</v>
      </c>
      <c r="G726" s="10"/>
      <c r="H726" s="10"/>
      <c r="I726" s="20">
        <f t="shared" si="12"/>
        <v>0</v>
      </c>
      <c r="J726" s="10" t="s">
        <v>1644</v>
      </c>
      <c r="K726" s="10">
        <v>1000</v>
      </c>
      <c r="L726" s="4"/>
    </row>
    <row r="727" spans="1:12" hidden="1">
      <c r="A727" s="4"/>
      <c r="B727" s="4" t="s">
        <v>583</v>
      </c>
      <c r="C727" s="10" t="s">
        <v>543</v>
      </c>
      <c r="D727" s="10" t="s">
        <v>1565</v>
      </c>
      <c r="E727" s="4"/>
      <c r="F727" s="10" t="s">
        <v>1651</v>
      </c>
      <c r="G727" s="10"/>
      <c r="H727" s="10"/>
      <c r="I727" s="20">
        <f t="shared" si="12"/>
        <v>0</v>
      </c>
      <c r="J727" s="10" t="s">
        <v>586</v>
      </c>
      <c r="K727" s="10">
        <v>1</v>
      </c>
      <c r="L727" s="4"/>
    </row>
  </sheetData>
  <autoFilter ref="B7:L727" xr:uid="{1A227BC7-3A6B-465C-9C6E-27F33D9BA5DE}">
    <filterColumn colId="1">
      <filters>
        <filter val="PROFILES"/>
      </filters>
    </filterColumn>
    <sortState xmlns:xlrd2="http://schemas.microsoft.com/office/spreadsheetml/2017/richdata2" ref="B34:L720">
      <sortCondition ref="J7:J727"/>
    </sortState>
  </autoFilter>
  <mergeCells count="1">
    <mergeCell ref="D5:F5"/>
  </mergeCells>
  <conditionalFormatting sqref="B1:B1048576">
    <cfRule type="duplicateValues" dxfId="13" priority="1"/>
  </conditionalFormatting>
  <conditionalFormatting sqref="B358">
    <cfRule type="duplicateValues" dxfId="12" priority="9"/>
  </conditionalFormatting>
  <conditionalFormatting sqref="B362:B370">
    <cfRule type="duplicateValues" dxfId="11" priority="10"/>
  </conditionalFormatting>
  <conditionalFormatting sqref="B372:B408">
    <cfRule type="duplicateValues" dxfId="10" priority="8"/>
  </conditionalFormatting>
  <conditionalFormatting sqref="B436:B448">
    <cfRule type="duplicateValues" dxfId="9" priority="7"/>
  </conditionalFormatting>
  <conditionalFormatting sqref="B449:B459">
    <cfRule type="duplicateValues" dxfId="8" priority="6"/>
  </conditionalFormatting>
  <conditionalFormatting sqref="B674">
    <cfRule type="duplicateValues" dxfId="7" priority="4"/>
  </conditionalFormatting>
  <conditionalFormatting sqref="B675:B689 B692:B1048576 B1:B673">
    <cfRule type="duplicateValues" dxfId="6" priority="5"/>
  </conditionalFormatting>
  <conditionalFormatting sqref="B690">
    <cfRule type="duplicateValues" dxfId="5" priority="3"/>
  </conditionalFormatting>
  <conditionalFormatting sqref="B691">
    <cfRule type="duplicateValues" dxfId="4" priority="2"/>
  </conditionalFormatting>
  <conditionalFormatting sqref="F346:F353 F409:F416 F323 F319 F293:F299 F271 F1:F105 F129:F130 F247 F108:F122 F257:F258 F252:F254 B248:B251 E248:E251 F280:F284 F288:F291 F303 F308 F325:F340 F421:F477 F483 F627:F642 F485:F624 F644:F645 F654:F661 F663:F673 F729:F1048576 F692:F727">
    <cfRule type="duplicateValues" dxfId="3" priority="12"/>
  </conditionalFormatting>
  <conditionalFormatting sqref="F346:F353 F409:F416 F323 F319 F293:F299 F271 F1:F105 F247 F108:F130 F257:F258 F252:F254 B248:B251 E248:E251 F280:F284 F288:F291 F303 F308 F325:F340 F421:F477 F483 F627:F642 F485:F624 F644:F645 F654:F661 F663:F673 F729:F1048576 F692:F727">
    <cfRule type="duplicateValues" dxfId="2" priority="13"/>
  </conditionalFormatting>
  <conditionalFormatting sqref="F729:F1048576 F1:F673 F692:F727">
    <cfRule type="duplicateValues" dxfId="1" priority="14"/>
  </conditionalFormatting>
  <conditionalFormatting sqref="M143:M624 M626:M1048576">
    <cfRule type="cellIs" dxfId="0" priority="11" operator="greaterThan">
      <formula>50</formula>
    </cfRule>
  </conditionalFormatting>
  <pageMargins left="0.70866141732283472" right="0.70866141732283472" top="0.74803149606299213" bottom="0.74803149606299213" header="0.31496062992125984" footer="0.31496062992125984"/>
  <pageSetup paperSize="9" scale="65" fitToHeight="0" orientation="landscape" r:id="rId1"/>
  <headerFooter>
    <oddFooter>&amp;C&amp;P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73FDD-2394-4625-A905-52C9E95DE15A}">
  <sheetPr>
    <tabColor rgb="FFE5EBF2"/>
    <pageSetUpPr fitToPage="1"/>
  </sheetPr>
  <dimension ref="A1:K11"/>
  <sheetViews>
    <sheetView zoomScaleNormal="100" workbookViewId="0">
      <pane xSplit="2" ySplit="6" topLeftCell="C7" activePane="bottomRight" state="frozen"/>
      <selection pane="bottomRight" activeCell="E1" sqref="E1"/>
      <selection pane="bottomLeft" activeCell="A7" sqref="A7"/>
      <selection pane="topRight" activeCell="C1" sqref="C1"/>
    </sheetView>
  </sheetViews>
  <sheetFormatPr defaultColWidth="11.42578125" defaultRowHeight="14.45"/>
  <cols>
    <col min="1" max="1" width="20.7109375" customWidth="1"/>
    <col min="2" max="2" width="11.7109375" customWidth="1"/>
    <col min="3" max="4" width="24.7109375" customWidth="1"/>
    <col min="5" max="5" width="22.140625" customWidth="1"/>
    <col min="6" max="6" width="53.140625" customWidth="1"/>
  </cols>
  <sheetData>
    <row r="1" spans="1:11" s="1" customFormat="1">
      <c r="A1" s="23" t="s">
        <v>0</v>
      </c>
      <c r="B1" s="9" t="s">
        <v>1</v>
      </c>
      <c r="C1" s="36" t="s">
        <v>2</v>
      </c>
      <c r="D1" s="2" t="s">
        <v>3</v>
      </c>
      <c r="E1" s="64">
        <v>409865144</v>
      </c>
      <c r="F1" s="6"/>
    </row>
    <row r="2" spans="1:11">
      <c r="A2" s="24"/>
      <c r="B2" s="3" t="s">
        <v>4</v>
      </c>
      <c r="C2" s="14" t="s">
        <v>5</v>
      </c>
      <c r="D2" s="2" t="s">
        <v>6</v>
      </c>
      <c r="E2" s="63"/>
      <c r="F2" s="6"/>
    </row>
    <row r="3" spans="1:11">
      <c r="A3" s="24"/>
      <c r="B3" s="3" t="s">
        <v>7</v>
      </c>
      <c r="C3" s="14" t="s">
        <v>8</v>
      </c>
      <c r="D3" s="6"/>
      <c r="F3" s="6"/>
    </row>
    <row r="4" spans="1:11">
      <c r="A4" s="24"/>
      <c r="D4" s="6"/>
      <c r="E4" s="3"/>
      <c r="F4" s="6"/>
    </row>
    <row r="5" spans="1:11">
      <c r="A5" s="24"/>
      <c r="C5" s="77" t="s">
        <v>1652</v>
      </c>
      <c r="D5" s="77"/>
      <c r="E5" s="77"/>
      <c r="F5" s="77"/>
    </row>
    <row r="7" spans="1:11" s="7" customFormat="1" ht="48" customHeight="1">
      <c r="A7" s="78" t="s">
        <v>1653</v>
      </c>
      <c r="B7" s="78"/>
      <c r="C7" s="11" t="s">
        <v>1654</v>
      </c>
      <c r="D7" s="31" t="s">
        <v>1655</v>
      </c>
      <c r="E7" s="31" t="s">
        <v>1656</v>
      </c>
      <c r="F7" s="67" t="s">
        <v>1657</v>
      </c>
    </row>
    <row r="8" spans="1:11" s="7" customFormat="1" ht="48" customHeight="1">
      <c r="A8" s="78" t="s">
        <v>1658</v>
      </c>
      <c r="B8" s="78"/>
      <c r="C8" s="65" t="s">
        <v>1659</v>
      </c>
      <c r="D8" s="65" t="s">
        <v>1660</v>
      </c>
      <c r="E8" s="68" t="s">
        <v>1661</v>
      </c>
      <c r="F8" s="66" t="s">
        <v>1662</v>
      </c>
    </row>
    <row r="9" spans="1:11" ht="48" customHeight="1">
      <c r="A9" s="79" t="s">
        <v>1663</v>
      </c>
      <c r="B9" s="79"/>
      <c r="C9" s="82" t="s">
        <v>1664</v>
      </c>
      <c r="D9" s="82"/>
      <c r="E9" s="82"/>
      <c r="F9" s="82"/>
      <c r="I9" s="7"/>
      <c r="J9" s="7"/>
      <c r="K9" s="7"/>
    </row>
    <row r="10" spans="1:11" ht="48" customHeight="1">
      <c r="A10" s="80" t="s">
        <v>1665</v>
      </c>
      <c r="B10" s="81"/>
      <c r="C10" s="83" t="s">
        <v>1666</v>
      </c>
      <c r="D10" s="83"/>
      <c r="E10" s="83"/>
      <c r="F10" s="83"/>
    </row>
    <row r="11" spans="1:11" ht="48" customHeight="1">
      <c r="A11" s="80" t="s">
        <v>1667</v>
      </c>
      <c r="B11" s="81"/>
      <c r="C11" s="83" t="s">
        <v>1668</v>
      </c>
      <c r="D11" s="83"/>
      <c r="E11" s="83"/>
      <c r="F11" s="83"/>
    </row>
  </sheetData>
  <mergeCells count="9">
    <mergeCell ref="C5:F5"/>
    <mergeCell ref="A7:B7"/>
    <mergeCell ref="A9:B9"/>
    <mergeCell ref="A10:B10"/>
    <mergeCell ref="A11:B11"/>
    <mergeCell ref="C9:F9"/>
    <mergeCell ref="C10:F10"/>
    <mergeCell ref="C11:F11"/>
    <mergeCell ref="A8:B8"/>
  </mergeCells>
  <hyperlinks>
    <hyperlink ref="F7" r:id="rId1" xr:uid="{BB7CA712-EEC5-4CD5-A1B3-1AA327776206}"/>
  </hyperlinks>
  <pageMargins left="0.70866141732283472" right="0.70866141732283472" top="0.74803149606299213" bottom="0.74803149606299213" header="0.31496062992125984" footer="0.31496062992125984"/>
  <pageSetup paperSize="9" scale="89" fitToHeight="0" orientation="landscape" r:id="rId2"/>
  <headerFooter>
    <oddFooter>&amp;C&amp;P / &amp;N</oddFooter>
  </headerFooter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yracuseOfficeCustomData>{"createMode":"plain_doc","forceRefresh":"0"}</SyracuseOfficeCustomDat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FFC0B8564494C9726C79517B81132" ma:contentTypeVersion="3" ma:contentTypeDescription="Crée un document." ma:contentTypeScope="" ma:versionID="83aaf36ea1763ce5512e4af2e4e6cf5f">
  <xsd:schema xmlns:xsd="http://www.w3.org/2001/XMLSchema" xmlns:xs="http://www.w3.org/2001/XMLSchema" xmlns:p="http://schemas.microsoft.com/office/2006/metadata/properties" xmlns:ns2="25411168-25cd-45dc-99be-54c47efef3ea" targetNamespace="http://schemas.microsoft.com/office/2006/metadata/properties" ma:root="true" ma:fieldsID="bfb0e4fc69f0924670390329ad165ac3" ns2:_="">
    <xsd:import namespace="25411168-25cd-45dc-99be-54c47efef3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411168-25cd-45dc-99be-54c47efef3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3FBCE7-E103-41FA-AF16-096C73F8B25A}"/>
</file>

<file path=customXml/itemProps2.xml><?xml version="1.0" encoding="utf-8"?>
<ds:datastoreItem xmlns:ds="http://schemas.openxmlformats.org/officeDocument/2006/customXml" ds:itemID="{1E2016B0-041F-4B2A-84CC-CC0AC50FB169}"/>
</file>

<file path=customXml/itemProps3.xml><?xml version="1.0" encoding="utf-8"?>
<ds:datastoreItem xmlns:ds="http://schemas.openxmlformats.org/officeDocument/2006/customXml" ds:itemID="{BCB773FC-7E42-42FC-BD13-5DE58BBDB79F}"/>
</file>

<file path=customXml/itemProps4.xml><?xml version="1.0" encoding="utf-8"?>
<ds:datastoreItem xmlns:ds="http://schemas.openxmlformats.org/officeDocument/2006/customXml" ds:itemID="{3510DC2A-39BB-43EF-A748-3361679C1E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Lezzoche Clara</dc:creator>
  <cp:keywords/>
  <dc:description/>
  <cp:lastModifiedBy>Wael Bouzoubaa</cp:lastModifiedBy>
  <cp:revision/>
  <dcterms:created xsi:type="dcterms:W3CDTF">2023-08-23T14:33:19Z</dcterms:created>
  <dcterms:modified xsi:type="dcterms:W3CDTF">2026-06-26T08:08:21Z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0x010100EDAFFC0B8564494C9726C79517B81132</vt:lpwstr>
  </property>
  <property fmtid="{D5CDD505-2E9C-101B-9397-08002B2CF9AE}" pid="3" name="MediaServiceImageTags">
    <vt:lpwstr/>
  </property>
  <property fmtid="{D5CDD505-2E9C-101B-9397-08002B2CF9AE}" pid="4" name="Type_x0020_de_x0020_fichier">
    <vt:lpwstr/>
  </property>
  <property fmtid="{D5CDD505-2E9C-101B-9397-08002B2CF9AE}" pid="5" name="Besoin">
    <vt:lpwstr>271;#Matériaux ＆ Matériel|0126219c-1cb3-453e-9ddd-b0ca6ac6fc88</vt:lpwstr>
  </property>
  <property fmtid="{D5CDD505-2E9C-101B-9397-08002B2CF9AE}" pid="6" name="P_x00e9_rim_x00e8_tre">
    <vt:lpwstr/>
  </property>
  <property fmtid="{D5CDD505-2E9C-101B-9397-08002B2CF9AE}" pid="7" name="sousbesoin">
    <vt:lpwstr>281;#Couverture / Bardage|8530e5f5-b1da-4f39-ad5d-540a7a026499</vt:lpwstr>
  </property>
  <property fmtid="{D5CDD505-2E9C-101B-9397-08002B2CF9AE}" pid="8" name="Activit_x00e9_s">
    <vt:lpwstr/>
  </property>
  <property fmtid="{D5CDD505-2E9C-101B-9397-08002B2CF9AE}" pid="9" name="Type de fichier">
    <vt:lpwstr/>
  </property>
  <property fmtid="{D5CDD505-2E9C-101B-9397-08002B2CF9AE}" pid="10" name="Périmètre">
    <vt:lpwstr/>
  </property>
  <property fmtid="{D5CDD505-2E9C-101B-9397-08002B2CF9AE}" pid="11" name="Activités">
    <vt:lpwstr/>
  </property>
</Properties>
</file>